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Introduction" sheetId="1" state="visible" r:id="rId3"/>
    <sheet name="Assembly List" sheetId="2" state="visible" r:id="rId4"/>
    <sheet name="Pipe Materials" sheetId="3" state="visible" r:id="rId5"/>
    <sheet name="Pipe Size Equivalents" sheetId="4" state="visible" r:id="rId6"/>
    <sheet name="Pipe Class Equivalents" sheetId="5" state="visible" r:id="rId7"/>
    <sheet name="Filters" sheetId="6" state="visible" r:id="rId8"/>
    <sheet name="Pipe Assigner" sheetId="7" state="visible" r:id="rId9"/>
    <sheet name="Test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<sst xmlns="http://schemas.openxmlformats.org/spreadsheetml/2006/main" count="767" uniqueCount="107">
  <si>
    <t xml:space="preserve">assembly</t>
  </si>
  <si>
    <t xml:space="preserve">category</t>
  </si>
  <si>
    <t xml:space="preserve">item</t>
  </si>
  <si>
    <t xml:space="preserve">material_a</t>
  </si>
  <si>
    <t xml:space="preserve">material_b</t>
  </si>
  <si>
    <t xml:space="preserve">size_a</t>
  </si>
  <si>
    <t xml:space="preserve">size_a_floor</t>
  </si>
  <si>
    <t xml:space="preserve">size_a_ceil</t>
  </si>
  <si>
    <t xml:space="preserve">size_b</t>
  </si>
  <si>
    <t xml:space="preserve">size_b_floor</t>
  </si>
  <si>
    <t xml:space="preserve">size_b_ceil</t>
  </si>
  <si>
    <t xml:space="preserve">class_a</t>
  </si>
  <si>
    <t xml:space="preserve">class_a_floor</t>
  </si>
  <si>
    <t xml:space="preserve">class_a_ceil</t>
  </si>
  <si>
    <t xml:space="preserve">class_b</t>
  </si>
  <si>
    <t xml:space="preserve">class_b_floor</t>
  </si>
  <si>
    <t xml:space="preserve">class_b_ceil</t>
  </si>
  <si>
    <t xml:space="preserve">SINK</t>
  </si>
  <si>
    <t xml:space="preserve">Carbon Steel Assembly</t>
  </si>
  <si>
    <t xml:space="preserve">HOUSE_PREFAB_SPOOL</t>
  </si>
  <si>
    <t xml:space="preserve">PE100</t>
  </si>
  <si>
    <t xml:space="preserve">ANSI_CS</t>
  </si>
  <si>
    <t xml:space="preserve">corridor_class</t>
  </si>
  <si>
    <t xml:space="preserve">PE Fitting</t>
  </si>
  <si>
    <t xml:space="preserve">ECC_RED</t>
  </si>
  <si>
    <t xml:space="preserve">corridor_size</t>
  </si>
  <si>
    <t xml:space="preserve">Miscellaneous</t>
  </si>
  <si>
    <t xml:space="preserve">GAS_METER</t>
  </si>
  <si>
    <t xml:space="preserve">Valve</t>
  </si>
  <si>
    <t xml:space="preserve">BALL_VALVE</t>
  </si>
  <si>
    <t xml:space="preserve">TRANSITION</t>
  </si>
  <si>
    <t xml:space="preserve">JCT</t>
  </si>
  <si>
    <t xml:space="preserve">EQU_TEE</t>
  </si>
  <si>
    <t xml:space="preserve">max_header_size</t>
  </si>
  <si>
    <t xml:space="preserve">branch_size</t>
  </si>
  <si>
    <t xml:space="preserve">mode_class</t>
  </si>
  <si>
    <t xml:space="preserve">RED_TEE</t>
  </si>
  <si>
    <t xml:space="preserve">CON_RED</t>
  </si>
  <si>
    <t xml:space="preserve">header_1_size</t>
  </si>
  <si>
    <t xml:space="preserve">header_2_size</t>
  </si>
  <si>
    <t xml:space="preserve">header_1_class</t>
  </si>
  <si>
    <t xml:space="preserve">header_2_class</t>
  </si>
  <si>
    <t xml:space="preserve">branch_class</t>
  </si>
  <si>
    <t xml:space="preserve">Water Tower Connection</t>
  </si>
  <si>
    <t xml:space="preserve">TANK_PREFAB_SPOOL</t>
  </si>
  <si>
    <t xml:space="preserve">Union</t>
  </si>
  <si>
    <t xml:space="preserve">UNION</t>
  </si>
  <si>
    <t xml:space="preserve">max_size</t>
  </si>
  <si>
    <t xml:space="preserve">branch_1_size</t>
  </si>
  <si>
    <t xml:space="preserve">branch_2_size</t>
  </si>
  <si>
    <t xml:space="preserve">branch_3_size</t>
  </si>
  <si>
    <t xml:space="preserve">branch_4_size</t>
  </si>
  <si>
    <t xml:space="preserve">branch_1_class</t>
  </si>
  <si>
    <t xml:space="preserve">branch_2_class</t>
  </si>
  <si>
    <t xml:space="preserve">branch_3_class</t>
  </si>
  <si>
    <t xml:space="preserve">branch_4_class</t>
  </si>
  <si>
    <t xml:space="preserve">EXT_GRID</t>
  </si>
  <si>
    <t xml:space="preserve">GRID_PREFAB_SPOOL</t>
  </si>
  <si>
    <t xml:space="preserve">STUB_AND_BKNG_RNG</t>
  </si>
  <si>
    <t xml:space="preserve">30_BEND</t>
  </si>
  <si>
    <t xml:space="preserve">30_SWEEP_BEND</t>
  </si>
  <si>
    <t xml:space="preserve">60_BEND</t>
  </si>
  <si>
    <t xml:space="preserve">60_SWEEP_BEND</t>
  </si>
  <si>
    <t xml:space="preserve">45_BEND</t>
  </si>
  <si>
    <t xml:space="preserve">45_SWEEP_BEND</t>
  </si>
  <si>
    <t xml:space="preserve">90_BEND</t>
  </si>
  <si>
    <t xml:space="preserve">90_SWEEP_BEND</t>
  </si>
  <si>
    <t xml:space="preserve">material_type</t>
  </si>
  <si>
    <t xml:space="preserve">material</t>
  </si>
  <si>
    <t xml:space="preserve">hdpe</t>
  </si>
  <si>
    <t xml:space="preserve">steel</t>
  </si>
  <si>
    <t xml:space="preserve">ANSI_SS</t>
  </si>
  <si>
    <t xml:space="preserve">AS2129_CS</t>
  </si>
  <si>
    <t xml:space="preserve">AS2129_SS</t>
  </si>
  <si>
    <t xml:space="preserve">pe_size</t>
  </si>
  <si>
    <t xml:space="preserve">steel_size</t>
  </si>
  <si>
    <t xml:space="preserve">pn_rating</t>
  </si>
  <si>
    <t xml:space="preserve">sdr</t>
  </si>
  <si>
    <t xml:space="preserve">ansi_class</t>
  </si>
  <si>
    <t xml:space="preserve">as2129_class</t>
  </si>
  <si>
    <t xml:space="preserve">150#</t>
  </si>
  <si>
    <t xml:space="preserve">table_e</t>
  </si>
  <si>
    <t xml:space="preserve">300#</t>
  </si>
  <si>
    <t xml:space="preserve">variable_a</t>
  </si>
  <si>
    <t xml:space="preserve">condition</t>
  </si>
  <si>
    <t xml:space="preserve">variable_b</t>
  </si>
  <si>
    <t xml:space="preserve">fitting_size_1</t>
  </si>
  <si>
    <t xml:space="preserve">less than or equal to</t>
  </si>
  <si>
    <t xml:space="preserve">fitting_size_2</t>
  </si>
  <si>
    <t xml:space="preserve">less than</t>
  </si>
  <si>
    <t xml:space="preserve">fitting_class_1</t>
  </si>
  <si>
    <t xml:space="preserve">greater than or equal to</t>
  </si>
  <si>
    <t xml:space="preserve">fitting_class_2</t>
  </si>
  <si>
    <t xml:space="preserve">line_size</t>
  </si>
  <si>
    <t xml:space="preserve">line_class</t>
  </si>
  <si>
    <t xml:space="preserve">line_spec</t>
  </si>
  <si>
    <t xml:space="preserve">internal_diam</t>
  </si>
  <si>
    <t xml:space="preserve">pres_rating_bar</t>
  </si>
  <si>
    <t xml:space="preserve">SDR7.4</t>
  </si>
  <si>
    <t xml:space="preserve">SDR9</t>
  </si>
  <si>
    <t xml:space="preserve">SDR11</t>
  </si>
  <si>
    <t xml:space="preserve">SDR13.6</t>
  </si>
  <si>
    <t xml:space="preserve">SDR17</t>
  </si>
  <si>
    <t xml:space="preserve">SDR21</t>
  </si>
  <si>
    <t xml:space="preserve">nominal_size</t>
  </si>
  <si>
    <t xml:space="preserve">length</t>
  </si>
  <si>
    <t xml:space="preserve">k_mm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</si>
</sst>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8" activeCellId="0" sqref="E2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1.32"/>
    <col collapsed="false" customWidth="true" hidden="false" outlineLevel="0" max="2" min="2" style="1" width="20.63"/>
    <col collapsed="false" customWidth="true" hidden="false" outlineLevel="0" max="3" min="3" style="1" width="23.55"/>
    <col collapsed="false" customWidth="true" hidden="false" outlineLevel="0" max="5" min="4" style="1" width="9.92"/>
    <col collapsed="false" customWidth="true" hidden="false" outlineLevel="0" max="6" min="6" style="1" width="15.76"/>
    <col collapsed="false" customWidth="true" hidden="false" outlineLevel="0" max="7" min="7" style="1" width="11.31"/>
    <col collapsed="false" customWidth="true" hidden="false" outlineLevel="0" max="8" min="8" style="1" width="10.61"/>
    <col collapsed="false" customWidth="true" hidden="false" outlineLevel="0" max="9" min="9" style="1" width="13.26"/>
    <col collapsed="false" customWidth="true" hidden="false" outlineLevel="0" max="10" min="10" style="1" width="11.31"/>
    <col collapsed="false" customWidth="true" hidden="false" outlineLevel="0" max="11" min="11" style="1" width="10.61"/>
    <col collapsed="false" customWidth="true" hidden="false" outlineLevel="0" max="12" min="12" style="1" width="12.84"/>
    <col collapsed="false" customWidth="true" hidden="false" outlineLevel="0" max="13" min="13" style="1" width="12.28"/>
    <col collapsed="false" customWidth="true" hidden="false" outlineLevel="0" max="15" min="15" style="1" width="14.23"/>
    <col collapsed="false" customWidth="true" hidden="false" outlineLevel="0" max="16" min="16" style="1" width="12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2.8" hidden="false" customHeight="false" outlineLevel="0" collapsed="false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n">
        <v>20</v>
      </c>
      <c r="I2" s="1" t="n">
        <v>15</v>
      </c>
      <c r="L2" s="1" t="s">
        <v>22</v>
      </c>
      <c r="O2" s="1" t="s">
        <v>22</v>
      </c>
    </row>
    <row r="3" customFormat="false" ht="12.8" hidden="false" customHeight="false" outlineLevel="0" collapsed="false">
      <c r="A3" s="1" t="s">
        <v>17</v>
      </c>
      <c r="B3" s="1" t="s">
        <v>23</v>
      </c>
      <c r="C3" s="1" t="s">
        <v>24</v>
      </c>
      <c r="D3" s="1" t="s">
        <v>20</v>
      </c>
      <c r="F3" s="1" t="s">
        <v>25</v>
      </c>
      <c r="I3" s="1" t="n">
        <v>20</v>
      </c>
      <c r="L3" s="1" t="s">
        <v>22</v>
      </c>
    </row>
    <row r="4" customFormat="false" ht="12.8" hidden="false" customHeight="false" outlineLevel="0" collapsed="false">
      <c r="A4" s="1" t="s">
        <v>17</v>
      </c>
      <c r="B4" s="1" t="s">
        <v>26</v>
      </c>
      <c r="C4" s="1" t="s">
        <v>27</v>
      </c>
    </row>
    <row r="5" customFormat="false" ht="12.8" hidden="false" customHeight="false" outlineLevel="0" collapsed="false">
      <c r="A5" s="1" t="s">
        <v>28</v>
      </c>
      <c r="B5" s="1" t="s">
        <v>23</v>
      </c>
      <c r="C5" s="1" t="s">
        <v>29</v>
      </c>
      <c r="D5" s="1" t="s">
        <v>20</v>
      </c>
      <c r="F5" s="1" t="s">
        <v>25</v>
      </c>
      <c r="L5" s="1" t="s">
        <v>22</v>
      </c>
      <c r="M5" s="1" t="n">
        <v>11</v>
      </c>
    </row>
    <row r="6" customFormat="false" ht="12.8" hidden="false" customHeight="false" outlineLevel="0" collapsed="false">
      <c r="A6" s="1" t="s">
        <v>28</v>
      </c>
      <c r="B6" s="1" t="s">
        <v>23</v>
      </c>
      <c r="C6" s="1" t="s">
        <v>30</v>
      </c>
      <c r="D6" s="1" t="s">
        <v>20</v>
      </c>
      <c r="F6" s="1" t="s">
        <v>25</v>
      </c>
      <c r="L6" s="1" t="n">
        <v>11</v>
      </c>
      <c r="O6" s="1" t="s">
        <v>22</v>
      </c>
    </row>
    <row r="7" customFormat="false" ht="12.8" hidden="false" customHeight="false" outlineLevel="0" collapsed="false">
      <c r="A7" s="1" t="s">
        <v>28</v>
      </c>
      <c r="B7" s="1" t="s">
        <v>23</v>
      </c>
      <c r="C7" s="1" t="s">
        <v>30</v>
      </c>
      <c r="D7" s="1" t="s">
        <v>20</v>
      </c>
      <c r="F7" s="1" t="s">
        <v>25</v>
      </c>
      <c r="L7" s="1" t="n">
        <v>11</v>
      </c>
      <c r="O7" s="1" t="s">
        <v>22</v>
      </c>
    </row>
    <row r="8" customFormat="false" ht="12.8" hidden="false" customHeight="false" outlineLevel="0" collapsed="false">
      <c r="A8" s="1" t="s">
        <v>31</v>
      </c>
      <c r="B8" s="1" t="s">
        <v>23</v>
      </c>
      <c r="C8" s="1" t="s">
        <v>32</v>
      </c>
      <c r="D8" s="1" t="s">
        <v>20</v>
      </c>
      <c r="F8" s="1" t="s">
        <v>33</v>
      </c>
      <c r="I8" s="1" t="s">
        <v>34</v>
      </c>
      <c r="L8" s="1" t="s">
        <v>35</v>
      </c>
    </row>
    <row r="9" customFormat="false" ht="12.8" hidden="false" customHeight="false" outlineLevel="0" collapsed="false">
      <c r="A9" s="1" t="s">
        <v>31</v>
      </c>
      <c r="B9" s="1" t="s">
        <v>23</v>
      </c>
      <c r="C9" s="1" t="s">
        <v>36</v>
      </c>
      <c r="D9" s="1" t="s">
        <v>20</v>
      </c>
      <c r="F9" s="1" t="s">
        <v>33</v>
      </c>
      <c r="I9" s="1" t="s">
        <v>34</v>
      </c>
      <c r="L9" s="1" t="s">
        <v>35</v>
      </c>
    </row>
    <row r="10" customFormat="false" ht="12.8" hidden="false" customHeight="false" outlineLevel="0" collapsed="false">
      <c r="A10" s="1" t="s">
        <v>31</v>
      </c>
      <c r="B10" s="1" t="s">
        <v>23</v>
      </c>
      <c r="C10" s="1" t="s">
        <v>37</v>
      </c>
      <c r="D10" s="1" t="s">
        <v>20</v>
      </c>
      <c r="F10" s="1" t="s">
        <v>38</v>
      </c>
      <c r="I10" s="1" t="s">
        <v>39</v>
      </c>
      <c r="L10" s="1" t="s">
        <v>35</v>
      </c>
    </row>
    <row r="11" customFormat="false" ht="12.8" hidden="false" customHeight="false" outlineLevel="0" collapsed="false">
      <c r="A11" s="1" t="s">
        <v>31</v>
      </c>
      <c r="B11" s="1" t="s">
        <v>23</v>
      </c>
      <c r="C11" s="1" t="s">
        <v>37</v>
      </c>
      <c r="D11" s="1" t="s">
        <v>20</v>
      </c>
      <c r="F11" s="1" t="s">
        <v>39</v>
      </c>
      <c r="I11" s="1" t="s">
        <v>38</v>
      </c>
      <c r="L11" s="1" t="s">
        <v>35</v>
      </c>
    </row>
    <row r="12" customFormat="false" ht="12.8" hidden="false" customHeight="false" outlineLevel="0" collapsed="false">
      <c r="A12" s="1" t="s">
        <v>31</v>
      </c>
      <c r="B12" s="1" t="s">
        <v>23</v>
      </c>
      <c r="C12" s="1" t="s">
        <v>37</v>
      </c>
      <c r="D12" s="1" t="s">
        <v>20</v>
      </c>
      <c r="F12" s="1" t="s">
        <v>34</v>
      </c>
      <c r="I12" s="1" t="s">
        <v>38</v>
      </c>
      <c r="L12" s="1" t="s">
        <v>35</v>
      </c>
    </row>
    <row r="13" customFormat="false" ht="12.8" hidden="false" customHeight="false" outlineLevel="0" collapsed="false">
      <c r="A13" s="1" t="s">
        <v>31</v>
      </c>
      <c r="B13" s="1" t="s">
        <v>23</v>
      </c>
      <c r="C13" s="1" t="s">
        <v>37</v>
      </c>
      <c r="D13" s="1" t="s">
        <v>20</v>
      </c>
      <c r="F13" s="1" t="s">
        <v>34</v>
      </c>
      <c r="I13" s="1" t="s">
        <v>39</v>
      </c>
      <c r="L13" s="1" t="s">
        <v>35</v>
      </c>
    </row>
    <row r="14" customFormat="false" ht="12.8" hidden="false" customHeight="false" outlineLevel="0" collapsed="false">
      <c r="A14" s="1" t="s">
        <v>31</v>
      </c>
      <c r="B14" s="1" t="s">
        <v>23</v>
      </c>
      <c r="C14" s="1" t="s">
        <v>30</v>
      </c>
      <c r="D14" s="1" t="s">
        <v>20</v>
      </c>
      <c r="F14" s="1" t="s">
        <v>38</v>
      </c>
      <c r="L14" s="1" t="s">
        <v>35</v>
      </c>
      <c r="O14" s="1" t="s">
        <v>40</v>
      </c>
    </row>
    <row r="15" customFormat="false" ht="12.8" hidden="false" customHeight="false" outlineLevel="0" collapsed="false">
      <c r="A15" s="1" t="s">
        <v>31</v>
      </c>
      <c r="B15" s="1" t="s">
        <v>23</v>
      </c>
      <c r="C15" s="1" t="s">
        <v>30</v>
      </c>
      <c r="D15" s="1" t="s">
        <v>20</v>
      </c>
      <c r="F15" s="1" t="s">
        <v>39</v>
      </c>
      <c r="L15" s="1" t="s">
        <v>35</v>
      </c>
      <c r="O15" s="1" t="s">
        <v>41</v>
      </c>
    </row>
    <row r="16" customFormat="false" ht="12.8" hidden="false" customHeight="false" outlineLevel="0" collapsed="false">
      <c r="A16" s="1" t="s">
        <v>31</v>
      </c>
      <c r="B16" s="1" t="s">
        <v>23</v>
      </c>
      <c r="C16" s="1" t="s">
        <v>30</v>
      </c>
      <c r="D16" s="1" t="s">
        <v>20</v>
      </c>
      <c r="F16" s="1" t="s">
        <v>34</v>
      </c>
      <c r="L16" s="1" t="s">
        <v>35</v>
      </c>
      <c r="O16" s="1" t="s">
        <v>42</v>
      </c>
    </row>
    <row r="17" customFormat="false" ht="12.8" hidden="false" customHeight="false" outlineLevel="0" collapsed="false">
      <c r="A17" s="1" t="s">
        <v>43</v>
      </c>
      <c r="B17" s="1" t="s">
        <v>18</v>
      </c>
      <c r="C17" s="1" t="s">
        <v>44</v>
      </c>
      <c r="D17" s="1" t="s">
        <v>21</v>
      </c>
      <c r="F17" s="1" t="n">
        <v>65</v>
      </c>
      <c r="I17" s="1" t="s">
        <v>25</v>
      </c>
      <c r="L17" s="1" t="s">
        <v>22</v>
      </c>
      <c r="O17" s="1" t="s">
        <v>22</v>
      </c>
    </row>
    <row r="18" customFormat="false" ht="12.8" hidden="false" customHeight="false" outlineLevel="0" collapsed="false">
      <c r="A18" s="1" t="s">
        <v>45</v>
      </c>
      <c r="B18" s="1" t="s">
        <v>23</v>
      </c>
      <c r="C18" s="1" t="s">
        <v>46</v>
      </c>
      <c r="D18" s="1" t="s">
        <v>20</v>
      </c>
      <c r="F18" s="1" t="s">
        <v>47</v>
      </c>
      <c r="I18" s="1" t="s">
        <v>47</v>
      </c>
      <c r="L18" s="1" t="s">
        <v>35</v>
      </c>
    </row>
    <row r="19" customFormat="false" ht="12.8" hidden="false" customHeight="false" outlineLevel="0" collapsed="false">
      <c r="A19" s="1" t="s">
        <v>45</v>
      </c>
      <c r="B19" s="1" t="s">
        <v>23</v>
      </c>
      <c r="C19" s="1" t="s">
        <v>37</v>
      </c>
      <c r="D19" s="1" t="s">
        <v>20</v>
      </c>
      <c r="F19" s="1" t="s">
        <v>47</v>
      </c>
      <c r="I19" s="1" t="s">
        <v>48</v>
      </c>
      <c r="L19" s="1" t="s">
        <v>35</v>
      </c>
    </row>
    <row r="20" customFormat="false" ht="12.8" hidden="false" customHeight="false" outlineLevel="0" collapsed="false">
      <c r="A20" s="1" t="s">
        <v>45</v>
      </c>
      <c r="B20" s="1" t="s">
        <v>23</v>
      </c>
      <c r="C20" s="1" t="s">
        <v>37</v>
      </c>
      <c r="D20" s="1" t="s">
        <v>20</v>
      </c>
      <c r="F20" s="1" t="s">
        <v>47</v>
      </c>
      <c r="I20" s="1" t="s">
        <v>49</v>
      </c>
      <c r="L20" s="1" t="s">
        <v>35</v>
      </c>
    </row>
    <row r="21" customFormat="false" ht="12.8" hidden="false" customHeight="false" outlineLevel="0" collapsed="false">
      <c r="A21" s="1" t="s">
        <v>45</v>
      </c>
      <c r="B21" s="1" t="s">
        <v>23</v>
      </c>
      <c r="C21" s="1" t="s">
        <v>37</v>
      </c>
      <c r="D21" s="1" t="s">
        <v>20</v>
      </c>
      <c r="F21" s="1" t="s">
        <v>47</v>
      </c>
      <c r="I21" s="1" t="s">
        <v>50</v>
      </c>
      <c r="L21" s="1" t="s">
        <v>35</v>
      </c>
    </row>
    <row r="22" customFormat="false" ht="12.8" hidden="false" customHeight="false" outlineLevel="0" collapsed="false">
      <c r="A22" s="1" t="s">
        <v>45</v>
      </c>
      <c r="B22" s="1" t="s">
        <v>23</v>
      </c>
      <c r="C22" s="1" t="s">
        <v>37</v>
      </c>
      <c r="D22" s="1" t="s">
        <v>20</v>
      </c>
      <c r="F22" s="1" t="s">
        <v>47</v>
      </c>
      <c r="I22" s="1" t="s">
        <v>51</v>
      </c>
      <c r="L22" s="1" t="s">
        <v>35</v>
      </c>
    </row>
    <row r="23" customFormat="false" ht="12.8" hidden="false" customHeight="false" outlineLevel="0" collapsed="false">
      <c r="A23" s="1" t="s">
        <v>45</v>
      </c>
      <c r="B23" s="1" t="s">
        <v>23</v>
      </c>
      <c r="C23" s="1" t="s">
        <v>30</v>
      </c>
      <c r="D23" s="1" t="s">
        <v>20</v>
      </c>
      <c r="F23" s="1" t="s">
        <v>47</v>
      </c>
      <c r="I23" s="1" t="s">
        <v>48</v>
      </c>
      <c r="L23" s="1" t="s">
        <v>35</v>
      </c>
      <c r="O23" s="1" t="s">
        <v>52</v>
      </c>
    </row>
    <row r="24" customFormat="false" ht="12.8" hidden="false" customHeight="false" outlineLevel="0" collapsed="false">
      <c r="A24" s="1" t="s">
        <v>45</v>
      </c>
      <c r="B24" s="1" t="s">
        <v>23</v>
      </c>
      <c r="C24" s="1" t="s">
        <v>30</v>
      </c>
      <c r="D24" s="1" t="s">
        <v>20</v>
      </c>
      <c r="F24" s="1" t="s">
        <v>47</v>
      </c>
      <c r="I24" s="1" t="s">
        <v>49</v>
      </c>
      <c r="L24" s="1" t="s">
        <v>35</v>
      </c>
      <c r="O24" s="1" t="s">
        <v>53</v>
      </c>
    </row>
    <row r="25" customFormat="false" ht="12.8" hidden="false" customHeight="false" outlineLevel="0" collapsed="false">
      <c r="A25" s="1" t="s">
        <v>45</v>
      </c>
      <c r="B25" s="1" t="s">
        <v>23</v>
      </c>
      <c r="C25" s="1" t="s">
        <v>30</v>
      </c>
      <c r="D25" s="1" t="s">
        <v>20</v>
      </c>
      <c r="F25" s="1" t="s">
        <v>47</v>
      </c>
      <c r="I25" s="1" t="s">
        <v>50</v>
      </c>
      <c r="L25" s="1" t="s">
        <v>35</v>
      </c>
      <c r="O25" s="1" t="s">
        <v>54</v>
      </c>
    </row>
    <row r="26" customFormat="false" ht="12.8" hidden="false" customHeight="false" outlineLevel="0" collapsed="false">
      <c r="A26" s="1" t="s">
        <v>45</v>
      </c>
      <c r="B26" s="1" t="s">
        <v>23</v>
      </c>
      <c r="C26" s="1" t="s">
        <v>30</v>
      </c>
      <c r="D26" s="1" t="s">
        <v>20</v>
      </c>
      <c r="F26" s="1" t="s">
        <v>47</v>
      </c>
      <c r="I26" s="1" t="s">
        <v>51</v>
      </c>
      <c r="L26" s="1" t="s">
        <v>35</v>
      </c>
      <c r="O26" s="1" t="s">
        <v>55</v>
      </c>
    </row>
    <row r="27" customFormat="false" ht="12.8" hidden="false" customHeight="false" outlineLevel="0" collapsed="false">
      <c r="A27" s="1" t="s">
        <v>56</v>
      </c>
      <c r="B27" s="1" t="s">
        <v>18</v>
      </c>
      <c r="C27" s="1" t="s">
        <v>57</v>
      </c>
      <c r="D27" s="1" t="s">
        <v>20</v>
      </c>
      <c r="E27" s="1" t="s">
        <v>21</v>
      </c>
      <c r="F27" s="1" t="n">
        <v>20</v>
      </c>
      <c r="I27" s="1" t="n">
        <v>15</v>
      </c>
      <c r="L27" s="1" t="s">
        <v>22</v>
      </c>
      <c r="O27" s="1" t="s">
        <v>22</v>
      </c>
    </row>
    <row r="28" customFormat="false" ht="12.8" hidden="false" customHeight="false" outlineLevel="0" collapsed="false">
      <c r="A28" s="1" t="s">
        <v>56</v>
      </c>
      <c r="B28" s="1" t="s">
        <v>23</v>
      </c>
      <c r="C28" s="1" t="s">
        <v>58</v>
      </c>
      <c r="D28" s="1" t="s">
        <v>20</v>
      </c>
      <c r="E28" s="1" t="s">
        <v>21</v>
      </c>
      <c r="F28" s="1" t="s">
        <v>25</v>
      </c>
      <c r="I28" s="1" t="s">
        <v>25</v>
      </c>
      <c r="L28" s="1" t="s">
        <v>22</v>
      </c>
      <c r="O28" s="1" t="s">
        <v>22</v>
      </c>
    </row>
    <row r="29" customFormat="false" ht="12.8" hidden="false" customHeight="false" outlineLevel="0" collapsed="false">
      <c r="A29" s="1" t="s">
        <v>56</v>
      </c>
      <c r="B29" s="1" t="s">
        <v>23</v>
      </c>
      <c r="C29" s="1" t="s">
        <v>24</v>
      </c>
      <c r="D29" s="1" t="s">
        <v>20</v>
      </c>
      <c r="F29" s="1" t="s">
        <v>25</v>
      </c>
      <c r="I29" s="1" t="n">
        <v>20</v>
      </c>
      <c r="L29" s="1" t="s">
        <v>22</v>
      </c>
    </row>
    <row r="30" customFormat="false" ht="12.8" hidden="false" customHeight="false" outlineLevel="0" collapsed="false">
      <c r="A30" s="1" t="s">
        <v>59</v>
      </c>
      <c r="B30" s="1" t="s">
        <v>23</v>
      </c>
      <c r="C30" s="1" t="s">
        <v>60</v>
      </c>
      <c r="D30" s="1" t="s">
        <v>20</v>
      </c>
      <c r="F30" s="1" t="s">
        <v>25</v>
      </c>
      <c r="L30" s="1" t="s">
        <v>22</v>
      </c>
    </row>
    <row r="31" customFormat="false" ht="12.8" hidden="false" customHeight="false" outlineLevel="0" collapsed="false">
      <c r="A31" s="1" t="s">
        <v>61</v>
      </c>
      <c r="B31" s="1" t="s">
        <v>23</v>
      </c>
      <c r="C31" s="1" t="s">
        <v>62</v>
      </c>
      <c r="D31" s="1" t="s">
        <v>20</v>
      </c>
      <c r="F31" s="1" t="s">
        <v>25</v>
      </c>
      <c r="L31" s="1" t="s">
        <v>22</v>
      </c>
    </row>
    <row r="32" customFormat="false" ht="12.8" hidden="false" customHeight="false" outlineLevel="0" collapsed="false">
      <c r="A32" s="1" t="s">
        <v>63</v>
      </c>
      <c r="B32" s="1" t="s">
        <v>23</v>
      </c>
      <c r="C32" s="1" t="s">
        <v>64</v>
      </c>
      <c r="D32" s="1" t="s">
        <v>20</v>
      </c>
      <c r="F32" s="1" t="s">
        <v>25</v>
      </c>
      <c r="L32" s="1" t="s">
        <v>22</v>
      </c>
    </row>
    <row r="33" customFormat="false" ht="12.8" hidden="false" customHeight="false" outlineLevel="0" collapsed="false">
      <c r="A33" s="1" t="s">
        <v>65</v>
      </c>
      <c r="B33" s="1" t="s">
        <v>23</v>
      </c>
      <c r="C33" s="1" t="s">
        <v>66</v>
      </c>
      <c r="D33" s="1" t="s">
        <v>20</v>
      </c>
      <c r="F33" s="1" t="s">
        <v>25</v>
      </c>
      <c r="L33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42"/>
    <col collapsed="false" customWidth="true" hidden="false" outlineLevel="0" max="2" min="2" style="1" width="13.81"/>
  </cols>
  <sheetData>
    <row r="1" customFormat="false" ht="12.8" hidden="false" customHeight="false" outlineLevel="0" collapsed="false">
      <c r="A1" s="1" t="s">
        <v>67</v>
      </c>
      <c r="B1" s="1" t="s">
        <v>68</v>
      </c>
    </row>
    <row r="2" customFormat="false" ht="12.8" hidden="false" customHeight="false" outlineLevel="0" collapsed="false">
      <c r="A2" s="1" t="s">
        <v>69</v>
      </c>
      <c r="B2" s="1" t="s">
        <v>20</v>
      </c>
    </row>
    <row r="3" customFormat="false" ht="12.8" hidden="false" customHeight="false" outlineLevel="0" collapsed="false">
      <c r="A3" s="1" t="s">
        <v>70</v>
      </c>
      <c r="B3" s="1" t="s">
        <v>21</v>
      </c>
    </row>
    <row r="4" customFormat="false" ht="12.8" hidden="false" customHeight="false" outlineLevel="0" collapsed="false">
      <c r="A4" s="1" t="s">
        <v>70</v>
      </c>
      <c r="B4" s="1" t="s">
        <v>71</v>
      </c>
    </row>
    <row r="5" customFormat="false" ht="12.8" hidden="false" customHeight="false" outlineLevel="0" collapsed="false">
      <c r="A5" s="1" t="s">
        <v>70</v>
      </c>
      <c r="B5" s="1" t="s">
        <v>72</v>
      </c>
    </row>
    <row r="6" customFormat="false" ht="12.8" hidden="false" customHeight="false" outlineLevel="0" collapsed="false">
      <c r="A6" s="1" t="s">
        <v>70</v>
      </c>
      <c r="B6" s="1" t="s">
        <v>73</v>
      </c>
    </row>
    <row r="7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8" activeCellId="0" sqref="F3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3</v>
      </c>
      <c r="B1" s="1" t="s">
        <v>4</v>
      </c>
      <c r="C1" s="1" t="s">
        <v>74</v>
      </c>
      <c r="D1" s="1" t="s">
        <v>75</v>
      </c>
    </row>
    <row r="2" customFormat="false" ht="12.8" hidden="false" customHeight="false" outlineLevel="0" collapsed="false">
      <c r="A2" s="1" t="s">
        <v>69</v>
      </c>
      <c r="B2" s="1" t="s">
        <v>70</v>
      </c>
      <c r="C2" s="1" t="n">
        <v>20</v>
      </c>
      <c r="D2" s="1" t="n">
        <v>15</v>
      </c>
    </row>
    <row r="3" customFormat="false" ht="12.8" hidden="false" customHeight="false" outlineLevel="0" collapsed="false">
      <c r="A3" s="1" t="s">
        <v>69</v>
      </c>
      <c r="B3" s="1" t="s">
        <v>70</v>
      </c>
      <c r="C3" s="1" t="n">
        <v>25</v>
      </c>
      <c r="D3" s="1" t="n">
        <v>20</v>
      </c>
    </row>
    <row r="4" customFormat="false" ht="12.8" hidden="false" customHeight="false" outlineLevel="0" collapsed="false">
      <c r="A4" s="1" t="s">
        <v>69</v>
      </c>
      <c r="B4" s="1" t="s">
        <v>70</v>
      </c>
      <c r="C4" s="1" t="n">
        <v>32</v>
      </c>
      <c r="D4" s="1" t="n">
        <v>25</v>
      </c>
    </row>
    <row r="5" customFormat="false" ht="12.8" hidden="false" customHeight="false" outlineLevel="0" collapsed="false">
      <c r="A5" s="1" t="s">
        <v>69</v>
      </c>
      <c r="B5" s="1" t="s">
        <v>70</v>
      </c>
      <c r="C5" s="1" t="n">
        <v>40</v>
      </c>
      <c r="D5" s="1" t="n">
        <v>32</v>
      </c>
    </row>
    <row r="6" customFormat="false" ht="12.8" hidden="false" customHeight="false" outlineLevel="0" collapsed="false">
      <c r="A6" s="1" t="s">
        <v>69</v>
      </c>
      <c r="B6" s="1" t="s">
        <v>70</v>
      </c>
      <c r="C6" s="1" t="n">
        <v>50</v>
      </c>
      <c r="D6" s="1" t="n">
        <v>40</v>
      </c>
    </row>
    <row r="7" customFormat="false" ht="12.8" hidden="false" customHeight="false" outlineLevel="0" collapsed="false">
      <c r="A7" s="1" t="s">
        <v>69</v>
      </c>
      <c r="B7" s="1" t="s">
        <v>70</v>
      </c>
      <c r="C7" s="1" t="n">
        <v>63</v>
      </c>
      <c r="D7" s="1" t="n">
        <v>50</v>
      </c>
    </row>
    <row r="8" customFormat="false" ht="12.8" hidden="false" customHeight="false" outlineLevel="0" collapsed="false">
      <c r="A8" s="1" t="s">
        <v>69</v>
      </c>
      <c r="B8" s="1" t="s">
        <v>70</v>
      </c>
      <c r="C8" s="1" t="n">
        <v>75</v>
      </c>
      <c r="D8" s="1" t="n">
        <v>65</v>
      </c>
    </row>
    <row r="9" customFormat="false" ht="12.8" hidden="false" customHeight="false" outlineLevel="0" collapsed="false">
      <c r="A9" s="1" t="s">
        <v>69</v>
      </c>
      <c r="B9" s="1" t="s">
        <v>70</v>
      </c>
      <c r="C9" s="1" t="n">
        <v>90</v>
      </c>
      <c r="D9" s="1" t="n">
        <v>80</v>
      </c>
    </row>
    <row r="10" customFormat="false" ht="12.8" hidden="false" customHeight="false" outlineLevel="0" collapsed="false">
      <c r="A10" s="1" t="s">
        <v>69</v>
      </c>
      <c r="B10" s="1" t="s">
        <v>70</v>
      </c>
      <c r="C10" s="1" t="n">
        <v>110</v>
      </c>
      <c r="D10" s="1" t="n">
        <v>100</v>
      </c>
    </row>
    <row r="11" customFormat="false" ht="12.8" hidden="false" customHeight="false" outlineLevel="0" collapsed="false">
      <c r="A11" s="1" t="s">
        <v>69</v>
      </c>
      <c r="B11" s="1" t="s">
        <v>70</v>
      </c>
      <c r="C11" s="1" t="n">
        <v>125</v>
      </c>
      <c r="D11" s="1" t="n">
        <v>125</v>
      </c>
    </row>
    <row r="12" customFormat="false" ht="12.8" hidden="false" customHeight="false" outlineLevel="0" collapsed="false">
      <c r="A12" s="1" t="s">
        <v>69</v>
      </c>
      <c r="B12" s="1" t="s">
        <v>70</v>
      </c>
      <c r="C12" s="1" t="n">
        <v>140</v>
      </c>
      <c r="D12" s="1" t="n">
        <v>125</v>
      </c>
    </row>
    <row r="13" customFormat="false" ht="12.8" hidden="false" customHeight="false" outlineLevel="0" collapsed="false">
      <c r="A13" s="1" t="s">
        <v>69</v>
      </c>
      <c r="B13" s="1" t="s">
        <v>70</v>
      </c>
      <c r="C13" s="1" t="n">
        <v>160</v>
      </c>
      <c r="D13" s="1" t="n">
        <v>150</v>
      </c>
    </row>
    <row r="14" customFormat="false" ht="12.8" hidden="false" customHeight="false" outlineLevel="0" collapsed="false">
      <c r="A14" s="1" t="s">
        <v>69</v>
      </c>
      <c r="B14" s="1" t="s">
        <v>70</v>
      </c>
      <c r="C14" s="1" t="n">
        <v>180</v>
      </c>
      <c r="D14" s="1" t="n">
        <v>150</v>
      </c>
    </row>
    <row r="15" customFormat="false" ht="12.8" hidden="false" customHeight="false" outlineLevel="0" collapsed="false">
      <c r="A15" s="1" t="s">
        <v>69</v>
      </c>
      <c r="B15" s="1" t="s">
        <v>70</v>
      </c>
      <c r="C15" s="1" t="n">
        <v>200</v>
      </c>
      <c r="D15" s="1" t="n">
        <v>200</v>
      </c>
    </row>
    <row r="16" customFormat="false" ht="12.8" hidden="false" customHeight="false" outlineLevel="0" collapsed="false">
      <c r="A16" s="1" t="s">
        <v>69</v>
      </c>
      <c r="B16" s="1" t="s">
        <v>70</v>
      </c>
      <c r="C16" s="1" t="n">
        <v>225</v>
      </c>
      <c r="D16" s="1" t="n">
        <v>200</v>
      </c>
    </row>
    <row r="17" customFormat="false" ht="12.8" hidden="false" customHeight="false" outlineLevel="0" collapsed="false">
      <c r="A17" s="1" t="s">
        <v>69</v>
      </c>
      <c r="B17" s="1" t="s">
        <v>70</v>
      </c>
      <c r="C17" s="1" t="n">
        <v>250</v>
      </c>
      <c r="D17" s="1" t="n">
        <v>250</v>
      </c>
    </row>
    <row r="18" customFormat="false" ht="12.8" hidden="false" customHeight="false" outlineLevel="0" collapsed="false">
      <c r="A18" s="1" t="s">
        <v>69</v>
      </c>
      <c r="B18" s="1" t="s">
        <v>70</v>
      </c>
      <c r="C18" s="1" t="n">
        <v>280</v>
      </c>
      <c r="D18" s="1" t="n">
        <v>250</v>
      </c>
    </row>
    <row r="19" customFormat="false" ht="12.8" hidden="false" customHeight="false" outlineLevel="0" collapsed="false">
      <c r="A19" s="1" t="s">
        <v>69</v>
      </c>
      <c r="B19" s="1" t="s">
        <v>70</v>
      </c>
      <c r="C19" s="1" t="n">
        <v>315</v>
      </c>
      <c r="D19" s="1" t="n">
        <v>300</v>
      </c>
    </row>
    <row r="20" customFormat="false" ht="12.8" hidden="false" customHeight="false" outlineLevel="0" collapsed="false">
      <c r="A20" s="1" t="s">
        <v>69</v>
      </c>
      <c r="B20" s="1" t="s">
        <v>70</v>
      </c>
      <c r="C20" s="1" t="n">
        <v>400</v>
      </c>
      <c r="D20" s="1" t="n">
        <v>400</v>
      </c>
    </row>
    <row r="21" customFormat="false" ht="12.8" hidden="false" customHeight="false" outlineLevel="0" collapsed="false">
      <c r="A21" s="1" t="s">
        <v>69</v>
      </c>
      <c r="B21" s="1" t="s">
        <v>70</v>
      </c>
      <c r="C21" s="1" t="n">
        <v>450</v>
      </c>
      <c r="D21" s="1" t="n">
        <v>450</v>
      </c>
    </row>
    <row r="22" customFormat="false" ht="12.8" hidden="false" customHeight="false" outlineLevel="0" collapsed="false">
      <c r="A22" s="1" t="s">
        <v>69</v>
      </c>
      <c r="B22" s="1" t="s">
        <v>70</v>
      </c>
      <c r="C22" s="1" t="n">
        <v>500</v>
      </c>
      <c r="D22" s="1" t="n">
        <v>500</v>
      </c>
    </row>
    <row r="23" customFormat="false" ht="12.8" hidden="false" customHeight="false" outlineLevel="0" collapsed="false">
      <c r="A23" s="1" t="s">
        <v>69</v>
      </c>
      <c r="B23" s="1" t="s">
        <v>70</v>
      </c>
      <c r="C23" s="1" t="n">
        <v>560</v>
      </c>
      <c r="D23" s="1" t="n">
        <v>550</v>
      </c>
    </row>
    <row r="24" customFormat="false" ht="12.8" hidden="false" customHeight="false" outlineLevel="0" collapsed="false">
      <c r="A24" s="1" t="s">
        <v>69</v>
      </c>
      <c r="B24" s="1" t="s">
        <v>70</v>
      </c>
      <c r="C24" s="1" t="n">
        <v>630</v>
      </c>
      <c r="D24" s="1" t="n">
        <v>600</v>
      </c>
    </row>
    <row r="25" customFormat="false" ht="12.8" hidden="false" customHeight="false" outlineLevel="0" collapsed="false">
      <c r="A25" s="1" t="s">
        <v>69</v>
      </c>
      <c r="B25" s="1" t="s">
        <v>70</v>
      </c>
      <c r="C25" s="1" t="n">
        <v>710</v>
      </c>
      <c r="D25" s="1" t="n">
        <v>700</v>
      </c>
    </row>
    <row r="26" customFormat="false" ht="12.8" hidden="false" customHeight="false" outlineLevel="0" collapsed="false">
      <c r="A26" s="1" t="s">
        <v>69</v>
      </c>
      <c r="B26" s="1" t="s">
        <v>70</v>
      </c>
      <c r="C26" s="1" t="n">
        <v>800</v>
      </c>
      <c r="D26" s="1" t="n">
        <v>800</v>
      </c>
    </row>
    <row r="27" customFormat="false" ht="12.8" hidden="false" customHeight="false" outlineLevel="0" collapsed="false">
      <c r="A27" s="1" t="s">
        <v>69</v>
      </c>
      <c r="B27" s="1" t="s">
        <v>70</v>
      </c>
      <c r="C27" s="1" t="n">
        <v>9000</v>
      </c>
      <c r="D27" s="1" t="n">
        <v>900</v>
      </c>
    </row>
    <row r="28" customFormat="false" ht="12.8" hidden="false" customHeight="false" outlineLevel="0" collapsed="false">
      <c r="A28" s="1" t="s">
        <v>69</v>
      </c>
      <c r="B28" s="1" t="s">
        <v>70</v>
      </c>
      <c r="C28" s="1" t="n">
        <v>1000</v>
      </c>
      <c r="D28" s="1" t="n">
        <v>1000</v>
      </c>
    </row>
    <row r="29" customFormat="false" ht="12.8" hidden="false" customHeight="true" outlineLevel="0" collapsed="false">
      <c r="A29" s="1" t="s">
        <v>70</v>
      </c>
      <c r="B29" s="1" t="s">
        <v>69</v>
      </c>
      <c r="C29" s="1" t="n">
        <v>15</v>
      </c>
      <c r="D29" s="1" t="n">
        <v>20</v>
      </c>
    </row>
    <row r="30" customFormat="false" ht="12.8" hidden="false" customHeight="true" outlineLevel="0" collapsed="false">
      <c r="A30" s="1" t="s">
        <v>70</v>
      </c>
      <c r="B30" s="1" t="s">
        <v>69</v>
      </c>
      <c r="C30" s="1" t="n">
        <v>20</v>
      </c>
      <c r="D30" s="1" t="n">
        <v>25</v>
      </c>
    </row>
    <row r="31" customFormat="false" ht="12.8" hidden="false" customHeight="true" outlineLevel="0" collapsed="false">
      <c r="A31" s="1" t="s">
        <v>70</v>
      </c>
      <c r="B31" s="1" t="s">
        <v>69</v>
      </c>
      <c r="C31" s="1" t="n">
        <v>25</v>
      </c>
      <c r="D31" s="1" t="n">
        <v>32</v>
      </c>
    </row>
    <row r="32" customFormat="false" ht="12.8" hidden="false" customHeight="true" outlineLevel="0" collapsed="false">
      <c r="A32" s="1" t="s">
        <v>70</v>
      </c>
      <c r="B32" s="1" t="s">
        <v>69</v>
      </c>
      <c r="C32" s="1" t="n">
        <v>32</v>
      </c>
      <c r="D32" s="1" t="n">
        <v>40</v>
      </c>
    </row>
    <row r="33" customFormat="false" ht="12.8" hidden="false" customHeight="true" outlineLevel="0" collapsed="false">
      <c r="A33" s="1" t="s">
        <v>70</v>
      </c>
      <c r="B33" s="1" t="s">
        <v>69</v>
      </c>
      <c r="C33" s="1" t="n">
        <v>40</v>
      </c>
      <c r="D33" s="1" t="n">
        <v>50</v>
      </c>
    </row>
    <row r="34" customFormat="false" ht="12.8" hidden="false" customHeight="true" outlineLevel="0" collapsed="false">
      <c r="A34" s="1" t="s">
        <v>70</v>
      </c>
      <c r="B34" s="1" t="s">
        <v>69</v>
      </c>
      <c r="C34" s="1" t="n">
        <v>50</v>
      </c>
      <c r="D34" s="1" t="n">
        <v>63</v>
      </c>
    </row>
    <row r="35" customFormat="false" ht="12.8" hidden="false" customHeight="true" outlineLevel="0" collapsed="false">
      <c r="A35" s="1" t="s">
        <v>70</v>
      </c>
      <c r="B35" s="1" t="s">
        <v>69</v>
      </c>
      <c r="C35" s="1" t="n">
        <v>65</v>
      </c>
      <c r="D35" s="1" t="n">
        <v>75</v>
      </c>
    </row>
    <row r="36" customFormat="false" ht="12.8" hidden="false" customHeight="true" outlineLevel="0" collapsed="false">
      <c r="A36" s="1" t="s">
        <v>70</v>
      </c>
      <c r="B36" s="1" t="s">
        <v>69</v>
      </c>
      <c r="C36" s="1" t="n">
        <v>80</v>
      </c>
      <c r="D36" s="1" t="n">
        <v>90</v>
      </c>
    </row>
    <row r="37" customFormat="false" ht="12.8" hidden="false" customHeight="true" outlineLevel="0" collapsed="false">
      <c r="A37" s="1" t="s">
        <v>70</v>
      </c>
      <c r="B37" s="1" t="s">
        <v>69</v>
      </c>
      <c r="C37" s="1" t="n">
        <v>100</v>
      </c>
      <c r="D37" s="1" t="n">
        <v>110</v>
      </c>
    </row>
    <row r="38" customFormat="false" ht="12.8" hidden="false" customHeight="true" outlineLevel="0" collapsed="false">
      <c r="A38" s="1" t="s">
        <v>70</v>
      </c>
      <c r="B38" s="1" t="s">
        <v>69</v>
      </c>
      <c r="C38" s="1" t="n">
        <v>125</v>
      </c>
      <c r="D38" s="1" t="n">
        <v>125</v>
      </c>
    </row>
    <row r="39" customFormat="false" ht="12.8" hidden="false" customHeight="true" outlineLevel="0" collapsed="false">
      <c r="A39" s="1" t="s">
        <v>70</v>
      </c>
      <c r="B39" s="1" t="s">
        <v>69</v>
      </c>
      <c r="C39" s="1" t="n">
        <v>125</v>
      </c>
      <c r="D39" s="1" t="n">
        <v>140</v>
      </c>
    </row>
    <row r="40" customFormat="false" ht="12.8" hidden="false" customHeight="true" outlineLevel="0" collapsed="false">
      <c r="A40" s="1" t="s">
        <v>70</v>
      </c>
      <c r="B40" s="1" t="s">
        <v>69</v>
      </c>
      <c r="C40" s="1" t="n">
        <v>150</v>
      </c>
      <c r="D40" s="1" t="n">
        <v>160</v>
      </c>
    </row>
    <row r="41" customFormat="false" ht="12.8" hidden="false" customHeight="true" outlineLevel="0" collapsed="false">
      <c r="A41" s="1" t="s">
        <v>70</v>
      </c>
      <c r="B41" s="1" t="s">
        <v>69</v>
      </c>
      <c r="C41" s="1" t="n">
        <v>150</v>
      </c>
      <c r="D41" s="1" t="n">
        <v>180</v>
      </c>
    </row>
    <row r="42" customFormat="false" ht="12.8" hidden="false" customHeight="true" outlineLevel="0" collapsed="false">
      <c r="A42" s="1" t="s">
        <v>70</v>
      </c>
      <c r="B42" s="1" t="s">
        <v>69</v>
      </c>
      <c r="C42" s="1" t="n">
        <v>200</v>
      </c>
      <c r="D42" s="1" t="n">
        <v>200</v>
      </c>
    </row>
    <row r="43" customFormat="false" ht="12.8" hidden="false" customHeight="true" outlineLevel="0" collapsed="false">
      <c r="A43" s="1" t="s">
        <v>70</v>
      </c>
      <c r="B43" s="1" t="s">
        <v>69</v>
      </c>
      <c r="C43" s="1" t="n">
        <v>200</v>
      </c>
      <c r="D43" s="1" t="n">
        <v>225</v>
      </c>
    </row>
    <row r="44" customFormat="false" ht="12.8" hidden="false" customHeight="true" outlineLevel="0" collapsed="false">
      <c r="A44" s="1" t="s">
        <v>70</v>
      </c>
      <c r="B44" s="1" t="s">
        <v>69</v>
      </c>
      <c r="C44" s="1" t="n">
        <v>250</v>
      </c>
      <c r="D44" s="1" t="n">
        <v>250</v>
      </c>
    </row>
    <row r="45" customFormat="false" ht="12.8" hidden="false" customHeight="true" outlineLevel="0" collapsed="false">
      <c r="A45" s="1" t="s">
        <v>70</v>
      </c>
      <c r="B45" s="1" t="s">
        <v>69</v>
      </c>
      <c r="C45" s="1" t="n">
        <v>250</v>
      </c>
      <c r="D45" s="1" t="n">
        <v>280</v>
      </c>
    </row>
    <row r="46" customFormat="false" ht="12.8" hidden="false" customHeight="true" outlineLevel="0" collapsed="false">
      <c r="A46" s="1" t="s">
        <v>70</v>
      </c>
      <c r="B46" s="1" t="s">
        <v>69</v>
      </c>
      <c r="C46" s="1" t="n">
        <v>300</v>
      </c>
      <c r="D46" s="1" t="n">
        <v>315</v>
      </c>
    </row>
    <row r="47" customFormat="false" ht="12.8" hidden="false" customHeight="true" outlineLevel="0" collapsed="false">
      <c r="A47" s="1" t="s">
        <v>70</v>
      </c>
      <c r="B47" s="1" t="s">
        <v>69</v>
      </c>
      <c r="C47" s="1" t="n">
        <v>400</v>
      </c>
      <c r="D47" s="1" t="n">
        <v>400</v>
      </c>
    </row>
    <row r="48" customFormat="false" ht="12.8" hidden="false" customHeight="true" outlineLevel="0" collapsed="false">
      <c r="A48" s="1" t="s">
        <v>70</v>
      </c>
      <c r="B48" s="1" t="s">
        <v>69</v>
      </c>
      <c r="C48" s="1" t="n">
        <v>450</v>
      </c>
      <c r="D48" s="1" t="n">
        <v>450</v>
      </c>
    </row>
    <row r="49" customFormat="false" ht="12.8" hidden="false" customHeight="true" outlineLevel="0" collapsed="false">
      <c r="A49" s="1" t="s">
        <v>70</v>
      </c>
      <c r="B49" s="1" t="s">
        <v>69</v>
      </c>
      <c r="C49" s="1" t="n">
        <v>500</v>
      </c>
      <c r="D49" s="1" t="n">
        <v>500</v>
      </c>
    </row>
    <row r="50" customFormat="false" ht="12.8" hidden="false" customHeight="true" outlineLevel="0" collapsed="false">
      <c r="A50" s="1" t="s">
        <v>70</v>
      </c>
      <c r="B50" s="1" t="s">
        <v>69</v>
      </c>
      <c r="C50" s="1" t="n">
        <v>550</v>
      </c>
      <c r="D50" s="1" t="n">
        <v>560</v>
      </c>
    </row>
    <row r="51" customFormat="false" ht="12.8" hidden="false" customHeight="true" outlineLevel="0" collapsed="false">
      <c r="A51" s="1" t="s">
        <v>70</v>
      </c>
      <c r="B51" s="1" t="s">
        <v>69</v>
      </c>
      <c r="C51" s="1" t="n">
        <v>600</v>
      </c>
      <c r="D51" s="1" t="n">
        <v>630</v>
      </c>
    </row>
    <row r="52" customFormat="false" ht="12.8" hidden="false" customHeight="true" outlineLevel="0" collapsed="false">
      <c r="A52" s="1" t="s">
        <v>70</v>
      </c>
      <c r="B52" s="1" t="s">
        <v>69</v>
      </c>
      <c r="C52" s="1" t="n">
        <v>700</v>
      </c>
      <c r="D52" s="1" t="n">
        <v>710</v>
      </c>
    </row>
    <row r="53" customFormat="false" ht="12.8" hidden="false" customHeight="true" outlineLevel="0" collapsed="false">
      <c r="A53" s="1" t="s">
        <v>70</v>
      </c>
      <c r="B53" s="1" t="s">
        <v>69</v>
      </c>
      <c r="C53" s="1" t="n">
        <v>800</v>
      </c>
      <c r="D53" s="1" t="n">
        <v>800</v>
      </c>
    </row>
    <row r="54" customFormat="false" ht="12.8" hidden="false" customHeight="true" outlineLevel="0" collapsed="false">
      <c r="A54" s="1" t="s">
        <v>70</v>
      </c>
      <c r="B54" s="1" t="s">
        <v>69</v>
      </c>
      <c r="C54" s="1" t="n">
        <v>900</v>
      </c>
      <c r="D54" s="1" t="n">
        <v>9000</v>
      </c>
    </row>
    <row r="55" customFormat="false" ht="12.8" hidden="false" customHeight="true" outlineLevel="0" collapsed="false">
      <c r="A55" s="1" t="s">
        <v>70</v>
      </c>
      <c r="B55" s="1" t="s">
        <v>69</v>
      </c>
      <c r="C55" s="1" t="n">
        <v>1000</v>
      </c>
      <c r="D55" s="1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1" width="12.7"/>
  </cols>
  <sheetData>
    <row r="1" customFormat="false" ht="12.8" hidden="false" customHeight="false" outlineLevel="0" collapsed="false">
      <c r="A1" s="1" t="s">
        <v>76</v>
      </c>
      <c r="B1" s="1" t="s">
        <v>77</v>
      </c>
      <c r="C1" s="1" t="s">
        <v>78</v>
      </c>
      <c r="D1" s="1" t="s">
        <v>79</v>
      </c>
    </row>
    <row r="2" customFormat="false" ht="12.8" hidden="false" customHeight="false" outlineLevel="0" collapsed="false">
      <c r="A2" s="1" t="n">
        <v>8</v>
      </c>
      <c r="B2" s="1" t="n">
        <v>21</v>
      </c>
      <c r="C2" s="1" t="s">
        <v>80</v>
      </c>
      <c r="D2" s="1" t="s">
        <v>81</v>
      </c>
    </row>
    <row r="3" customFormat="false" ht="12.8" hidden="false" customHeight="false" outlineLevel="0" collapsed="false">
      <c r="A3" s="1" t="n">
        <v>10</v>
      </c>
      <c r="B3" s="1" t="n">
        <v>17</v>
      </c>
      <c r="C3" s="1" t="s">
        <v>80</v>
      </c>
      <c r="D3" s="1" t="s">
        <v>81</v>
      </c>
    </row>
    <row r="4" customFormat="false" ht="12.8" hidden="false" customHeight="false" outlineLevel="0" collapsed="false">
      <c r="A4" s="1" t="n">
        <v>12.5</v>
      </c>
      <c r="B4" s="1" t="n">
        <v>13.6</v>
      </c>
      <c r="C4" s="1" t="s">
        <v>80</v>
      </c>
      <c r="D4" s="1" t="s">
        <v>81</v>
      </c>
    </row>
    <row r="5" customFormat="false" ht="12.8" hidden="false" customHeight="false" outlineLevel="0" collapsed="false">
      <c r="A5" s="1" t="n">
        <v>16</v>
      </c>
      <c r="B5" s="1" t="n">
        <v>11</v>
      </c>
      <c r="C5" s="1" t="s">
        <v>80</v>
      </c>
      <c r="D5" s="1" t="s">
        <v>81</v>
      </c>
    </row>
    <row r="6" customFormat="false" ht="12.8" hidden="false" customHeight="false" outlineLevel="0" collapsed="false">
      <c r="A6" s="1" t="n">
        <v>20</v>
      </c>
      <c r="B6" s="1" t="n">
        <v>9</v>
      </c>
      <c r="C6" s="1" t="s">
        <v>80</v>
      </c>
      <c r="D6" s="1" t="s">
        <v>81</v>
      </c>
    </row>
    <row r="7" customFormat="false" ht="12.8" hidden="false" customHeight="false" outlineLevel="0" collapsed="false">
      <c r="A7" s="1" t="n">
        <v>25</v>
      </c>
      <c r="B7" s="1" t="n">
        <v>7.4</v>
      </c>
      <c r="C7" s="1" t="s">
        <v>82</v>
      </c>
      <c r="D7" s="1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56"/>
    <col collapsed="false" customWidth="true" hidden="false" outlineLevel="0" max="2" min="2" style="1" width="13.26"/>
    <col collapsed="false" customWidth="true" hidden="false" outlineLevel="0" max="3" min="3" style="1" width="20.22"/>
    <col collapsed="false" customWidth="true" hidden="false" outlineLevel="0" max="4" min="4" style="1" width="13.26"/>
  </cols>
  <sheetData>
    <row r="1" customFormat="false" ht="12.8" hidden="false" customHeight="false" outlineLevel="0" collapsed="false">
      <c r="A1" s="1" t="s">
        <v>2</v>
      </c>
      <c r="B1" s="1" t="s">
        <v>83</v>
      </c>
      <c r="C1" s="1" t="s">
        <v>84</v>
      </c>
      <c r="D1" s="1" t="s">
        <v>85</v>
      </c>
    </row>
    <row r="2" customFormat="false" ht="12.8" hidden="false" customHeight="false" outlineLevel="0" collapsed="false">
      <c r="A2" s="1" t="s">
        <v>36</v>
      </c>
      <c r="B2" s="2" t="s">
        <v>86</v>
      </c>
      <c r="C2" s="2" t="s">
        <v>87</v>
      </c>
      <c r="D2" s="2" t="s">
        <v>88</v>
      </c>
    </row>
    <row r="3" customFormat="false" ht="12.8" hidden="false" customHeight="false" outlineLevel="0" collapsed="false">
      <c r="A3" s="1" t="s">
        <v>32</v>
      </c>
      <c r="B3" s="2" t="s">
        <v>88</v>
      </c>
      <c r="C3" s="2" t="s">
        <v>89</v>
      </c>
      <c r="D3" s="2" t="s">
        <v>86</v>
      </c>
    </row>
    <row r="4" customFormat="false" ht="12.8" hidden="false" customHeight="false" outlineLevel="0" collapsed="false">
      <c r="A4" s="1" t="s">
        <v>37</v>
      </c>
      <c r="B4" s="2" t="s">
        <v>86</v>
      </c>
      <c r="C4" s="2" t="s">
        <v>87</v>
      </c>
      <c r="D4" s="2" t="s">
        <v>88</v>
      </c>
    </row>
    <row r="5" customFormat="false" ht="12.8" hidden="false" customHeight="false" outlineLevel="0" collapsed="false">
      <c r="A5" s="1" t="s">
        <v>24</v>
      </c>
      <c r="B5" s="2" t="s">
        <v>86</v>
      </c>
      <c r="C5" s="2" t="s">
        <v>87</v>
      </c>
      <c r="D5" s="2" t="s">
        <v>88</v>
      </c>
    </row>
    <row r="6" customFormat="false" ht="12.8" hidden="false" customHeight="false" outlineLevel="0" collapsed="false">
      <c r="A6" s="1" t="s">
        <v>30</v>
      </c>
      <c r="B6" s="2" t="s">
        <v>90</v>
      </c>
      <c r="C6" s="2" t="s">
        <v>91</v>
      </c>
      <c r="D6" s="2" t="s">
        <v>92</v>
      </c>
    </row>
  </sheetData>
  <dataValidations count="3">
    <dataValidation allowBlank="true" errorStyle="stop" operator="equal" showDropDown="false" showErrorMessage="true" showInputMessage="false" sqref="C7:C52" type="list">
      <formula1>"equal,does not equal,greater than,greater than or equal to,less than,less than or equal to"</formula1>
      <formula2>0</formula2>
    </dataValidation>
    <dataValidation allowBlank="true" errorStyle="stop" operator="equal" showDropDown="false" showErrorMessage="true" showInputMessage="false" sqref="B2:B6 D2:D6" type="list">
      <formula1>"fitting_size_1,fitting_size_2,fitting_class_1,fitting_class_2,"</formula1>
      <formula2>0</formula2>
    </dataValidation>
    <dataValidation allowBlank="true" errorStyle="stop" operator="equal" showDropDown="false" showErrorMessage="true" showInputMessage="false" sqref="C2:C6" type="list">
      <formula1>"equal,does not equal,greater than,greater than or equal to,less than,less than or equal to,blank"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0" width="17.15"/>
    <col collapsed="false" customWidth="true" hidden="false" outlineLevel="0" max="4" min="4" style="0" width="18.13"/>
    <col collapsed="false" customWidth="true" hidden="false" outlineLevel="0" max="5" min="5" style="0" width="12.28"/>
    <col collapsed="false" customWidth="true" hidden="false" outlineLevel="0" max="6" min="6" style="0" width="13.95"/>
  </cols>
  <sheetData>
    <row r="1" customFormat="false" ht="12.8" hidden="false" customHeight="false" outlineLevel="0" collapsed="false">
      <c r="A1" s="0" t="s">
        <v>93</v>
      </c>
      <c r="B1" s="0" t="s">
        <v>94</v>
      </c>
      <c r="C1" s="0" t="s">
        <v>68</v>
      </c>
      <c r="D1" s="0" t="s">
        <v>95</v>
      </c>
      <c r="E1" s="0" t="s">
        <v>96</v>
      </c>
      <c r="F1" s="0" t="s">
        <v>97</v>
      </c>
    </row>
    <row r="2" customFormat="false" ht="12.8" hidden="false" customHeight="false" outlineLevel="0" collapsed="false">
      <c r="A2" s="0" t="n">
        <v>16</v>
      </c>
      <c r="B2" s="0" t="s">
        <v>98</v>
      </c>
      <c r="C2" s="0" t="s">
        <v>20</v>
      </c>
      <c r="D2" s="0" t="str">
        <f aca="false">A2&amp;C2&amp;B2</f>
        <v>16PE100SDR7.4</v>
      </c>
      <c r="E2" s="0" t="n">
        <f aca="false">(A2-(2*(A2/(RIGHT(B2,LEN(B2)-3)))))/1000</f>
        <v>0.0116756756756757</v>
      </c>
      <c r="F2" s="0" t="n">
        <v>25</v>
      </c>
    </row>
    <row r="3" customFormat="false" ht="12.8" hidden="false" customHeight="false" outlineLevel="0" collapsed="false">
      <c r="A3" s="0" t="n">
        <v>20</v>
      </c>
      <c r="B3" s="0" t="s">
        <v>98</v>
      </c>
      <c r="C3" s="0" t="s">
        <v>20</v>
      </c>
      <c r="D3" s="0" t="str">
        <f aca="false">A3&amp;C3&amp;B3</f>
        <v>20PE100SDR7.4</v>
      </c>
      <c r="E3" s="0" t="n">
        <f aca="false">(A3-(2*(A3/(RIGHT(B3,LEN(B3)-3)))))/1000</f>
        <v>0.0145945945945946</v>
      </c>
      <c r="F3" s="0" t="n">
        <v>25</v>
      </c>
    </row>
    <row r="4" customFormat="false" ht="12.8" hidden="false" customHeight="false" outlineLevel="0" collapsed="false">
      <c r="A4" s="0" t="n">
        <v>25</v>
      </c>
      <c r="B4" s="0" t="s">
        <v>98</v>
      </c>
      <c r="C4" s="0" t="s">
        <v>20</v>
      </c>
      <c r="D4" s="0" t="str">
        <f aca="false">A4&amp;C4&amp;B4</f>
        <v>25PE100SDR7.4</v>
      </c>
      <c r="E4" s="0" t="n">
        <f aca="false">(A4-(2*(A4/(RIGHT(B4,LEN(B4)-3)))))/1000</f>
        <v>0.0182432432432432</v>
      </c>
      <c r="F4" s="0" t="n">
        <v>25</v>
      </c>
    </row>
    <row r="5" customFormat="false" ht="12.8" hidden="false" customHeight="false" outlineLevel="0" collapsed="false">
      <c r="A5" s="0" t="n">
        <v>32</v>
      </c>
      <c r="B5" s="0" t="s">
        <v>98</v>
      </c>
      <c r="C5" s="0" t="s">
        <v>20</v>
      </c>
      <c r="D5" s="0" t="str">
        <f aca="false">A5&amp;C5&amp;B5</f>
        <v>32PE100SDR7.4</v>
      </c>
      <c r="E5" s="0" t="n">
        <f aca="false">(A5-(2*(A5/(RIGHT(B5,LEN(B5)-3)))))/1000</f>
        <v>0.0233513513513514</v>
      </c>
      <c r="F5" s="0" t="n">
        <v>25</v>
      </c>
    </row>
    <row r="6" customFormat="false" ht="12.8" hidden="false" customHeight="false" outlineLevel="0" collapsed="false">
      <c r="A6" s="0" t="n">
        <v>40</v>
      </c>
      <c r="B6" s="0" t="s">
        <v>98</v>
      </c>
      <c r="C6" s="0" t="s">
        <v>20</v>
      </c>
      <c r="D6" s="0" t="str">
        <f aca="false">A6&amp;C6&amp;B6</f>
        <v>40PE100SDR7.4</v>
      </c>
      <c r="E6" s="0" t="n">
        <f aca="false">(A6-(2*(A6/(RIGHT(B6,LEN(B6)-3)))))/1000</f>
        <v>0.0291891891891892</v>
      </c>
      <c r="F6" s="0" t="n">
        <v>25</v>
      </c>
    </row>
    <row r="7" customFormat="false" ht="12.8" hidden="false" customHeight="false" outlineLevel="0" collapsed="false">
      <c r="A7" s="0" t="n">
        <v>50</v>
      </c>
      <c r="B7" s="0" t="s">
        <v>98</v>
      </c>
      <c r="C7" s="0" t="s">
        <v>20</v>
      </c>
      <c r="D7" s="0" t="str">
        <f aca="false">A7&amp;C7&amp;B7</f>
        <v>50PE100SDR7.4</v>
      </c>
      <c r="E7" s="0" t="n">
        <f aca="false">(A7-(2*(A7/(RIGHT(B7,LEN(B7)-3)))))/1000</f>
        <v>0.0364864864864865</v>
      </c>
      <c r="F7" s="0" t="n">
        <v>25</v>
      </c>
    </row>
    <row r="8" customFormat="false" ht="12.8" hidden="false" customHeight="false" outlineLevel="0" collapsed="false">
      <c r="A8" s="0" t="n">
        <v>63</v>
      </c>
      <c r="B8" s="0" t="s">
        <v>98</v>
      </c>
      <c r="C8" s="0" t="s">
        <v>20</v>
      </c>
      <c r="D8" s="0" t="str">
        <f aca="false">A8&amp;C8&amp;B8</f>
        <v>63PE100SDR7.4</v>
      </c>
      <c r="E8" s="0" t="n">
        <f aca="false">(A8-(2*(A8/(RIGHT(B8,LEN(B8)-3)))))/1000</f>
        <v>0.045972972972973</v>
      </c>
      <c r="F8" s="0" t="n">
        <v>25</v>
      </c>
    </row>
    <row r="9" customFormat="false" ht="12.8" hidden="false" customHeight="false" outlineLevel="0" collapsed="false">
      <c r="A9" s="0" t="n">
        <v>75</v>
      </c>
      <c r="B9" s="0" t="s">
        <v>98</v>
      </c>
      <c r="C9" s="0" t="s">
        <v>20</v>
      </c>
      <c r="D9" s="0" t="str">
        <f aca="false">A9&amp;C9&amp;B9</f>
        <v>75PE100SDR7.4</v>
      </c>
      <c r="E9" s="0" t="n">
        <f aca="false">(A9-(2*(A9/(RIGHT(B9,LEN(B9)-3)))))/1000</f>
        <v>0.0547297297297297</v>
      </c>
      <c r="F9" s="0" t="n">
        <v>25</v>
      </c>
    </row>
    <row r="10" customFormat="false" ht="12.8" hidden="false" customHeight="false" outlineLevel="0" collapsed="false">
      <c r="A10" s="0" t="n">
        <v>90</v>
      </c>
      <c r="B10" s="0" t="s">
        <v>98</v>
      </c>
      <c r="C10" s="0" t="s">
        <v>20</v>
      </c>
      <c r="D10" s="0" t="str">
        <f aca="false">A10&amp;C10&amp;B10</f>
        <v>90PE100SDR7.4</v>
      </c>
      <c r="E10" s="0" t="n">
        <f aca="false">(A10-(2*(A10/(RIGHT(B10,LEN(B10)-3)))))/1000</f>
        <v>0.0656756756756757</v>
      </c>
      <c r="F10" s="0" t="n">
        <v>25</v>
      </c>
    </row>
    <row r="11" customFormat="false" ht="12.8" hidden="false" customHeight="false" outlineLevel="0" collapsed="false">
      <c r="A11" s="0" t="n">
        <v>110</v>
      </c>
      <c r="B11" s="0" t="s">
        <v>98</v>
      </c>
      <c r="C11" s="0" t="s">
        <v>20</v>
      </c>
      <c r="D11" s="0" t="str">
        <f aca="false">A11&amp;C11&amp;B11</f>
        <v>110PE100SDR7.4</v>
      </c>
      <c r="E11" s="0" t="n">
        <f aca="false">(A11-(2*(A11/(RIGHT(B11,LEN(B11)-3)))))/1000</f>
        <v>0.0802702702702703</v>
      </c>
      <c r="F11" s="0" t="n">
        <v>25</v>
      </c>
    </row>
    <row r="12" customFormat="false" ht="12.8" hidden="false" customHeight="false" outlineLevel="0" collapsed="false">
      <c r="A12" s="0" t="n">
        <v>125</v>
      </c>
      <c r="B12" s="0" t="s">
        <v>98</v>
      </c>
      <c r="C12" s="0" t="s">
        <v>20</v>
      </c>
      <c r="D12" s="0" t="str">
        <f aca="false">A12&amp;C12&amp;B12</f>
        <v>125PE100SDR7.4</v>
      </c>
      <c r="E12" s="0" t="n">
        <f aca="false">(A12-(2*(A12/(RIGHT(B12,LEN(B12)-3)))))/1000</f>
        <v>0.0912162162162162</v>
      </c>
      <c r="F12" s="0" t="n">
        <v>25</v>
      </c>
    </row>
    <row r="13" customFormat="false" ht="12.8" hidden="false" customHeight="false" outlineLevel="0" collapsed="false">
      <c r="A13" s="0" t="n">
        <v>140</v>
      </c>
      <c r="B13" s="0" t="s">
        <v>98</v>
      </c>
      <c r="C13" s="0" t="s">
        <v>20</v>
      </c>
      <c r="D13" s="0" t="str">
        <f aca="false">A13&amp;C13&amp;B13</f>
        <v>140PE100SDR7.4</v>
      </c>
      <c r="E13" s="0" t="n">
        <f aca="false">(A13-(2*(A13/(RIGHT(B13,LEN(B13)-3)))))/1000</f>
        <v>0.102162162162162</v>
      </c>
      <c r="F13" s="0" t="n">
        <v>25</v>
      </c>
    </row>
    <row r="14" customFormat="false" ht="12.8" hidden="false" customHeight="false" outlineLevel="0" collapsed="false">
      <c r="A14" s="0" t="n">
        <v>160</v>
      </c>
      <c r="B14" s="0" t="s">
        <v>98</v>
      </c>
      <c r="C14" s="0" t="s">
        <v>20</v>
      </c>
      <c r="D14" s="0" t="str">
        <f aca="false">A14&amp;C14&amp;B14</f>
        <v>160PE100SDR7.4</v>
      </c>
      <c r="E14" s="0" t="n">
        <f aca="false">(A14-(2*(A14/(RIGHT(B14,LEN(B14)-3)))))/1000</f>
        <v>0.116756756756757</v>
      </c>
      <c r="F14" s="0" t="n">
        <v>25</v>
      </c>
    </row>
    <row r="15" customFormat="false" ht="12.8" hidden="false" customHeight="false" outlineLevel="0" collapsed="false">
      <c r="A15" s="0" t="n">
        <v>180</v>
      </c>
      <c r="B15" s="0" t="s">
        <v>98</v>
      </c>
      <c r="C15" s="0" t="s">
        <v>20</v>
      </c>
      <c r="D15" s="0" t="str">
        <f aca="false">A15&amp;C15&amp;B15</f>
        <v>180PE100SDR7.4</v>
      </c>
      <c r="E15" s="0" t="n">
        <f aca="false">(A15-(2*(A15/(RIGHT(B15,LEN(B15)-3)))))/1000</f>
        <v>0.131351351351351</v>
      </c>
      <c r="F15" s="0" t="n">
        <v>25</v>
      </c>
    </row>
    <row r="16" customFormat="false" ht="12.8" hidden="false" customHeight="false" outlineLevel="0" collapsed="false">
      <c r="A16" s="0" t="n">
        <v>200</v>
      </c>
      <c r="B16" s="0" t="s">
        <v>98</v>
      </c>
      <c r="C16" s="0" t="s">
        <v>20</v>
      </c>
      <c r="D16" s="0" t="str">
        <f aca="false">A16&amp;C16&amp;B16</f>
        <v>200PE100SDR7.4</v>
      </c>
      <c r="E16" s="0" t="n">
        <f aca="false">(A16-(2*(A16/(RIGHT(B16,LEN(B16)-3)))))/1000</f>
        <v>0.145945945945946</v>
      </c>
      <c r="F16" s="0" t="n">
        <v>25</v>
      </c>
    </row>
    <row r="17" customFormat="false" ht="12.8" hidden="false" customHeight="false" outlineLevel="0" collapsed="false">
      <c r="A17" s="0" t="n">
        <v>225</v>
      </c>
      <c r="B17" s="0" t="s">
        <v>98</v>
      </c>
      <c r="C17" s="0" t="s">
        <v>20</v>
      </c>
      <c r="D17" s="0" t="str">
        <f aca="false">A17&amp;C17&amp;B17</f>
        <v>225PE100SDR7.4</v>
      </c>
      <c r="E17" s="0" t="n">
        <f aca="false">(A17-(2*(A17/(RIGHT(B17,LEN(B17)-3)))))/1000</f>
        <v>0.164189189189189</v>
      </c>
      <c r="F17" s="0" t="n">
        <v>25</v>
      </c>
    </row>
    <row r="18" customFormat="false" ht="12.8" hidden="false" customHeight="false" outlineLevel="0" collapsed="false">
      <c r="A18" s="0" t="n">
        <v>250</v>
      </c>
      <c r="B18" s="0" t="s">
        <v>98</v>
      </c>
      <c r="C18" s="0" t="s">
        <v>20</v>
      </c>
      <c r="D18" s="0" t="str">
        <f aca="false">A18&amp;C18&amp;B18</f>
        <v>250PE100SDR7.4</v>
      </c>
      <c r="E18" s="0" t="n">
        <f aca="false">(A18-(2*(A18/(RIGHT(B18,LEN(B18)-3)))))/1000</f>
        <v>0.182432432432432</v>
      </c>
      <c r="F18" s="0" t="n">
        <v>25</v>
      </c>
    </row>
    <row r="19" customFormat="false" ht="12.8" hidden="false" customHeight="false" outlineLevel="0" collapsed="false">
      <c r="A19" s="0" t="n">
        <v>280</v>
      </c>
      <c r="B19" s="0" t="s">
        <v>98</v>
      </c>
      <c r="C19" s="0" t="s">
        <v>20</v>
      </c>
      <c r="D19" s="0" t="str">
        <f aca="false">A19&amp;C19&amp;B19</f>
        <v>280PE100SDR7.4</v>
      </c>
      <c r="E19" s="0" t="n">
        <f aca="false">(A19-(2*(A19/(RIGHT(B19,LEN(B19)-3)))))/1000</f>
        <v>0.204324324324324</v>
      </c>
      <c r="F19" s="0" t="n">
        <v>25</v>
      </c>
    </row>
    <row r="20" customFormat="false" ht="12.8" hidden="false" customHeight="false" outlineLevel="0" collapsed="false">
      <c r="A20" s="0" t="n">
        <v>315</v>
      </c>
      <c r="B20" s="0" t="s">
        <v>98</v>
      </c>
      <c r="C20" s="0" t="s">
        <v>20</v>
      </c>
      <c r="D20" s="0" t="str">
        <f aca="false">A20&amp;C20&amp;B20</f>
        <v>315PE100SDR7.4</v>
      </c>
      <c r="E20" s="0" t="n">
        <f aca="false">(A20-(2*(A20/(RIGHT(B20,LEN(B20)-3)))))/1000</f>
        <v>0.229864864864865</v>
      </c>
      <c r="F20" s="0" t="n">
        <v>25</v>
      </c>
    </row>
    <row r="21" customFormat="false" ht="12.8" hidden="false" customHeight="false" outlineLevel="0" collapsed="false">
      <c r="A21" s="0" t="n">
        <v>355</v>
      </c>
      <c r="B21" s="0" t="s">
        <v>98</v>
      </c>
      <c r="C21" s="0" t="s">
        <v>20</v>
      </c>
      <c r="D21" s="0" t="str">
        <f aca="false">A21&amp;C21&amp;B21</f>
        <v>355PE100SDR7.4</v>
      </c>
      <c r="E21" s="0" t="n">
        <f aca="false">(A21-(2*(A21/(RIGHT(B21,LEN(B21)-3)))))/1000</f>
        <v>0.259054054054054</v>
      </c>
      <c r="F21" s="0" t="n">
        <v>25</v>
      </c>
    </row>
    <row r="22" customFormat="false" ht="12.8" hidden="false" customHeight="false" outlineLevel="0" collapsed="false">
      <c r="A22" s="0" t="n">
        <v>400</v>
      </c>
      <c r="B22" s="0" t="s">
        <v>98</v>
      </c>
      <c r="C22" s="0" t="s">
        <v>20</v>
      </c>
      <c r="D22" s="0" t="str">
        <f aca="false">A22&amp;C22&amp;B22</f>
        <v>400PE100SDR7.4</v>
      </c>
      <c r="E22" s="0" t="n">
        <f aca="false">(A22-(2*(A22/(RIGHT(B22,LEN(B22)-3)))))/1000</f>
        <v>0.291891891891892</v>
      </c>
      <c r="F22" s="0" t="n">
        <v>25</v>
      </c>
    </row>
    <row r="23" customFormat="false" ht="12.8" hidden="false" customHeight="false" outlineLevel="0" collapsed="false">
      <c r="A23" s="0" t="n">
        <v>450</v>
      </c>
      <c r="B23" s="0" t="s">
        <v>98</v>
      </c>
      <c r="C23" s="0" t="s">
        <v>20</v>
      </c>
      <c r="D23" s="0" t="str">
        <f aca="false">A23&amp;C23&amp;B23</f>
        <v>450PE100SDR7.4</v>
      </c>
      <c r="E23" s="0" t="n">
        <f aca="false">(A23-(2*(A23/(RIGHT(B23,LEN(B23)-3)))))/1000</f>
        <v>0.328378378378378</v>
      </c>
      <c r="F23" s="0" t="n">
        <v>25</v>
      </c>
    </row>
    <row r="24" customFormat="false" ht="12.8" hidden="false" customHeight="false" outlineLevel="0" collapsed="false">
      <c r="A24" s="0" t="n">
        <v>500</v>
      </c>
      <c r="B24" s="0" t="s">
        <v>98</v>
      </c>
      <c r="C24" s="0" t="s">
        <v>20</v>
      </c>
      <c r="D24" s="0" t="str">
        <f aca="false">A24&amp;C24&amp;B24</f>
        <v>500PE100SDR7.4</v>
      </c>
      <c r="E24" s="0" t="n">
        <f aca="false">(A24-(2*(A24/(RIGHT(B24,LEN(B24)-3)))))/1000</f>
        <v>0.364864864864865</v>
      </c>
      <c r="F24" s="0" t="n">
        <v>25</v>
      </c>
    </row>
    <row r="25" customFormat="false" ht="12.8" hidden="false" customHeight="false" outlineLevel="0" collapsed="false">
      <c r="A25" s="0" t="n">
        <v>560</v>
      </c>
      <c r="B25" s="0" t="s">
        <v>98</v>
      </c>
      <c r="C25" s="0" t="s">
        <v>20</v>
      </c>
      <c r="D25" s="0" t="str">
        <f aca="false">A25&amp;C25&amp;B25</f>
        <v>560PE100SDR7.4</v>
      </c>
      <c r="E25" s="0" t="n">
        <f aca="false">(A25-(2*(A25/(RIGHT(B25,LEN(B25)-3)))))/1000</f>
        <v>0.408648648648649</v>
      </c>
      <c r="F25" s="0" t="n">
        <v>25</v>
      </c>
    </row>
    <row r="26" customFormat="false" ht="12.8" hidden="false" customHeight="false" outlineLevel="0" collapsed="false">
      <c r="A26" s="0" t="n">
        <v>630</v>
      </c>
      <c r="B26" s="0" t="s">
        <v>98</v>
      </c>
      <c r="C26" s="0" t="s">
        <v>20</v>
      </c>
      <c r="D26" s="0" t="str">
        <f aca="false">A26&amp;C26&amp;B26</f>
        <v>630PE100SDR7.4</v>
      </c>
      <c r="E26" s="0" t="n">
        <f aca="false">(A26-(2*(A26/(RIGHT(B26,LEN(B26)-3)))))/1000</f>
        <v>0.45972972972973</v>
      </c>
      <c r="F26" s="0" t="n">
        <v>25</v>
      </c>
    </row>
    <row r="27" customFormat="false" ht="12.8" hidden="false" customHeight="false" outlineLevel="0" collapsed="false">
      <c r="A27" s="0" t="n">
        <v>710</v>
      </c>
      <c r="B27" s="0" t="s">
        <v>98</v>
      </c>
      <c r="C27" s="0" t="s">
        <v>20</v>
      </c>
      <c r="D27" s="0" t="str">
        <f aca="false">A27&amp;C27&amp;B27</f>
        <v>710PE100SDR7.4</v>
      </c>
      <c r="E27" s="0" t="n">
        <f aca="false">(A27-(2*(A27/(RIGHT(B27,LEN(B27)-3)))))/1000</f>
        <v>0.518108108108108</v>
      </c>
      <c r="F27" s="0" t="n">
        <v>25</v>
      </c>
    </row>
    <row r="28" customFormat="false" ht="12.8" hidden="false" customHeight="false" outlineLevel="0" collapsed="false">
      <c r="A28" s="0" t="n">
        <v>800</v>
      </c>
      <c r="B28" s="0" t="s">
        <v>98</v>
      </c>
      <c r="C28" s="0" t="s">
        <v>20</v>
      </c>
      <c r="D28" s="0" t="str">
        <f aca="false">A28&amp;C28&amp;B28</f>
        <v>800PE100SDR7.4</v>
      </c>
      <c r="E28" s="0" t="n">
        <f aca="false">(A28-(2*(A28/(RIGHT(B28,LEN(B28)-3)))))/1000</f>
        <v>0.583783783783784</v>
      </c>
      <c r="F28" s="0" t="n">
        <v>25</v>
      </c>
    </row>
    <row r="29" customFormat="false" ht="12.8" hidden="false" customHeight="false" outlineLevel="0" collapsed="false">
      <c r="A29" s="0" t="n">
        <v>900</v>
      </c>
      <c r="B29" s="0" t="s">
        <v>98</v>
      </c>
      <c r="C29" s="0" t="s">
        <v>20</v>
      </c>
      <c r="D29" s="0" t="str">
        <f aca="false">A29&amp;C29&amp;B29</f>
        <v>900PE100SDR7.4</v>
      </c>
      <c r="E29" s="0" t="n">
        <f aca="false">(A29-(2*(A29/(RIGHT(B29,LEN(B29)-3)))))/1000</f>
        <v>0.656756756756757</v>
      </c>
      <c r="F29" s="0" t="n">
        <v>25</v>
      </c>
    </row>
    <row r="30" customFormat="false" ht="12.8" hidden="false" customHeight="false" outlineLevel="0" collapsed="false">
      <c r="A30" s="0" t="n">
        <v>1000</v>
      </c>
      <c r="B30" s="0" t="s">
        <v>98</v>
      </c>
      <c r="C30" s="0" t="s">
        <v>20</v>
      </c>
      <c r="D30" s="0" t="str">
        <f aca="false">A30&amp;C30&amp;B30</f>
        <v>1000PE100SDR7.4</v>
      </c>
      <c r="E30" s="0" t="n">
        <f aca="false">(A30-(2*(A30/(RIGHT(B30,LEN(B30)-3)))))/1000</f>
        <v>0.72972972972973</v>
      </c>
      <c r="F30" s="0" t="n">
        <v>25</v>
      </c>
    </row>
    <row r="31" customFormat="false" ht="12.8" hidden="false" customHeight="false" outlineLevel="0" collapsed="false">
      <c r="A31" s="0" t="n">
        <v>1200</v>
      </c>
      <c r="B31" s="0" t="s">
        <v>98</v>
      </c>
      <c r="C31" s="0" t="s">
        <v>20</v>
      </c>
      <c r="D31" s="0" t="str">
        <f aca="false">A31&amp;C31&amp;B31</f>
        <v>1200PE100SDR7.4</v>
      </c>
      <c r="E31" s="0" t="n">
        <f aca="false">(A31-(2*(A31/(RIGHT(B31,LEN(B31)-3)))))/1000</f>
        <v>0.875675675675676</v>
      </c>
      <c r="F31" s="0" t="n">
        <v>25</v>
      </c>
    </row>
    <row r="32" customFormat="false" ht="12.8" hidden="false" customHeight="false" outlineLevel="0" collapsed="false">
      <c r="A32" s="0" t="n">
        <v>16</v>
      </c>
      <c r="B32" s="0" t="s">
        <v>99</v>
      </c>
      <c r="C32" s="0" t="s">
        <v>20</v>
      </c>
      <c r="D32" s="0" t="str">
        <f aca="false">A32&amp;C32&amp;B32</f>
        <v>16PE100SDR9</v>
      </c>
      <c r="E32" s="0" t="n">
        <f aca="false">(A32-(2*(A32/(RIGHT(B32,LEN(B32)-3)))))/1000</f>
        <v>0.0124444444444444</v>
      </c>
      <c r="F32" s="0" t="n">
        <v>20</v>
      </c>
    </row>
    <row r="33" customFormat="false" ht="12.8" hidden="false" customHeight="false" outlineLevel="0" collapsed="false">
      <c r="A33" s="0" t="n">
        <v>20</v>
      </c>
      <c r="B33" s="0" t="s">
        <v>99</v>
      </c>
      <c r="C33" s="0" t="s">
        <v>20</v>
      </c>
      <c r="D33" s="0" t="str">
        <f aca="false">A33&amp;C33&amp;B33</f>
        <v>20PE100SDR9</v>
      </c>
      <c r="E33" s="0" t="n">
        <f aca="false">(A33-(2*(A33/(RIGHT(B33,LEN(B33)-3)))))/1000</f>
        <v>0.0155555555555556</v>
      </c>
      <c r="F33" s="0" t="n">
        <v>20</v>
      </c>
    </row>
    <row r="34" customFormat="false" ht="12.8" hidden="false" customHeight="false" outlineLevel="0" collapsed="false">
      <c r="A34" s="0" t="n">
        <v>25</v>
      </c>
      <c r="B34" s="0" t="s">
        <v>99</v>
      </c>
      <c r="C34" s="0" t="s">
        <v>20</v>
      </c>
      <c r="D34" s="0" t="str">
        <f aca="false">A34&amp;C34&amp;B34</f>
        <v>25PE100SDR9</v>
      </c>
      <c r="E34" s="0" t="n">
        <f aca="false">(A34-(2*(A34/(RIGHT(B34,LEN(B34)-3)))))/1000</f>
        <v>0.0194444444444444</v>
      </c>
      <c r="F34" s="0" t="n">
        <v>20</v>
      </c>
    </row>
    <row r="35" customFormat="false" ht="12.8" hidden="false" customHeight="false" outlineLevel="0" collapsed="false">
      <c r="A35" s="0" t="n">
        <v>32</v>
      </c>
      <c r="B35" s="0" t="s">
        <v>99</v>
      </c>
      <c r="C35" s="0" t="s">
        <v>20</v>
      </c>
      <c r="D35" s="0" t="str">
        <f aca="false">A35&amp;C35&amp;B35</f>
        <v>32PE100SDR9</v>
      </c>
      <c r="E35" s="0" t="n">
        <f aca="false">(A35-(2*(A35/(RIGHT(B35,LEN(B35)-3)))))/1000</f>
        <v>0.0248888888888889</v>
      </c>
      <c r="F35" s="0" t="n">
        <v>20</v>
      </c>
    </row>
    <row r="36" customFormat="false" ht="12.8" hidden="false" customHeight="false" outlineLevel="0" collapsed="false">
      <c r="A36" s="0" t="n">
        <v>40</v>
      </c>
      <c r="B36" s="0" t="s">
        <v>99</v>
      </c>
      <c r="C36" s="0" t="s">
        <v>20</v>
      </c>
      <c r="D36" s="0" t="str">
        <f aca="false">A36&amp;C36&amp;B36</f>
        <v>40PE100SDR9</v>
      </c>
      <c r="E36" s="0" t="n">
        <f aca="false">(A36-(2*(A36/(RIGHT(B36,LEN(B36)-3)))))/1000</f>
        <v>0.0311111111111111</v>
      </c>
      <c r="F36" s="0" t="n">
        <v>20</v>
      </c>
    </row>
    <row r="37" customFormat="false" ht="12.8" hidden="false" customHeight="false" outlineLevel="0" collapsed="false">
      <c r="A37" s="0" t="n">
        <v>50</v>
      </c>
      <c r="B37" s="0" t="s">
        <v>99</v>
      </c>
      <c r="C37" s="0" t="s">
        <v>20</v>
      </c>
      <c r="D37" s="0" t="str">
        <f aca="false">A37&amp;C37&amp;B37</f>
        <v>50PE100SDR9</v>
      </c>
      <c r="E37" s="0" t="n">
        <f aca="false">(A37-(2*(A37/(RIGHT(B37,LEN(B37)-3)))))/1000</f>
        <v>0.0388888888888889</v>
      </c>
      <c r="F37" s="0" t="n">
        <v>20</v>
      </c>
    </row>
    <row r="38" customFormat="false" ht="12.8" hidden="false" customHeight="false" outlineLevel="0" collapsed="false">
      <c r="A38" s="0" t="n">
        <v>63</v>
      </c>
      <c r="B38" s="0" t="s">
        <v>99</v>
      </c>
      <c r="C38" s="0" t="s">
        <v>20</v>
      </c>
      <c r="D38" s="0" t="str">
        <f aca="false">A38&amp;C38&amp;B38</f>
        <v>63PE100SDR9</v>
      </c>
      <c r="E38" s="0" t="n">
        <f aca="false">(A38-(2*(A38/(RIGHT(B38,LEN(B38)-3)))))/1000</f>
        <v>0.049</v>
      </c>
      <c r="F38" s="0" t="n">
        <v>20</v>
      </c>
    </row>
    <row r="39" customFormat="false" ht="12.8" hidden="false" customHeight="false" outlineLevel="0" collapsed="false">
      <c r="A39" s="0" t="n">
        <v>75</v>
      </c>
      <c r="B39" s="0" t="s">
        <v>99</v>
      </c>
      <c r="C39" s="0" t="s">
        <v>20</v>
      </c>
      <c r="D39" s="0" t="str">
        <f aca="false">A39&amp;C39&amp;B39</f>
        <v>75PE100SDR9</v>
      </c>
      <c r="E39" s="0" t="n">
        <f aca="false">(A39-(2*(A39/(RIGHT(B39,LEN(B39)-3)))))/1000</f>
        <v>0.0583333333333333</v>
      </c>
      <c r="F39" s="0" t="n">
        <v>20</v>
      </c>
    </row>
    <row r="40" customFormat="false" ht="12.8" hidden="false" customHeight="false" outlineLevel="0" collapsed="false">
      <c r="A40" s="0" t="n">
        <v>90</v>
      </c>
      <c r="B40" s="0" t="s">
        <v>99</v>
      </c>
      <c r="C40" s="0" t="s">
        <v>20</v>
      </c>
      <c r="D40" s="0" t="str">
        <f aca="false">A40&amp;C40&amp;B40</f>
        <v>90PE100SDR9</v>
      </c>
      <c r="E40" s="0" t="n">
        <f aca="false">(A40-(2*(A40/(RIGHT(B40,LEN(B40)-3)))))/1000</f>
        <v>0.07</v>
      </c>
      <c r="F40" s="0" t="n">
        <v>20</v>
      </c>
    </row>
    <row r="41" customFormat="false" ht="12.8" hidden="false" customHeight="false" outlineLevel="0" collapsed="false">
      <c r="A41" s="0" t="n">
        <v>110</v>
      </c>
      <c r="B41" s="0" t="s">
        <v>99</v>
      </c>
      <c r="C41" s="0" t="s">
        <v>20</v>
      </c>
      <c r="D41" s="0" t="str">
        <f aca="false">A41&amp;C41&amp;B41</f>
        <v>110PE100SDR9</v>
      </c>
      <c r="E41" s="0" t="n">
        <f aca="false">(A41-(2*(A41/(RIGHT(B41,LEN(B41)-3)))))/1000</f>
        <v>0.0855555555555556</v>
      </c>
      <c r="F41" s="0" t="n">
        <v>20</v>
      </c>
    </row>
    <row r="42" customFormat="false" ht="12.8" hidden="false" customHeight="false" outlineLevel="0" collapsed="false">
      <c r="A42" s="0" t="n">
        <v>125</v>
      </c>
      <c r="B42" s="0" t="s">
        <v>99</v>
      </c>
      <c r="C42" s="0" t="s">
        <v>20</v>
      </c>
      <c r="D42" s="0" t="str">
        <f aca="false">A42&amp;C42&amp;B42</f>
        <v>125PE100SDR9</v>
      </c>
      <c r="E42" s="0" t="n">
        <f aca="false">(A42-(2*(A42/(RIGHT(B42,LEN(B42)-3)))))/1000</f>
        <v>0.0972222222222222</v>
      </c>
      <c r="F42" s="0" t="n">
        <v>20</v>
      </c>
    </row>
    <row r="43" customFormat="false" ht="12.8" hidden="false" customHeight="false" outlineLevel="0" collapsed="false">
      <c r="A43" s="0" t="n">
        <v>140</v>
      </c>
      <c r="B43" s="0" t="s">
        <v>99</v>
      </c>
      <c r="C43" s="0" t="s">
        <v>20</v>
      </c>
      <c r="D43" s="0" t="str">
        <f aca="false">A43&amp;C43&amp;B43</f>
        <v>140PE100SDR9</v>
      </c>
      <c r="E43" s="0" t="n">
        <f aca="false">(A43-(2*(A43/(RIGHT(B43,LEN(B43)-3)))))/1000</f>
        <v>0.108888888888889</v>
      </c>
      <c r="F43" s="0" t="n">
        <v>20</v>
      </c>
    </row>
    <row r="44" customFormat="false" ht="12.8" hidden="false" customHeight="false" outlineLevel="0" collapsed="false">
      <c r="A44" s="0" t="n">
        <v>160</v>
      </c>
      <c r="B44" s="0" t="s">
        <v>99</v>
      </c>
      <c r="C44" s="0" t="s">
        <v>20</v>
      </c>
      <c r="D44" s="0" t="str">
        <f aca="false">A44&amp;C44&amp;B44</f>
        <v>160PE100SDR9</v>
      </c>
      <c r="E44" s="0" t="n">
        <f aca="false">(A44-(2*(A44/(RIGHT(B44,LEN(B44)-3)))))/1000</f>
        <v>0.124444444444444</v>
      </c>
      <c r="F44" s="0" t="n">
        <v>20</v>
      </c>
    </row>
    <row r="45" customFormat="false" ht="12.8" hidden="false" customHeight="false" outlineLevel="0" collapsed="false">
      <c r="A45" s="0" t="n">
        <v>180</v>
      </c>
      <c r="B45" s="0" t="s">
        <v>99</v>
      </c>
      <c r="C45" s="0" t="s">
        <v>20</v>
      </c>
      <c r="D45" s="0" t="str">
        <f aca="false">A45&amp;C45&amp;B45</f>
        <v>180PE100SDR9</v>
      </c>
      <c r="E45" s="0" t="n">
        <f aca="false">(A45-(2*(A45/(RIGHT(B45,LEN(B45)-3)))))/1000</f>
        <v>0.14</v>
      </c>
      <c r="F45" s="0" t="n">
        <v>20</v>
      </c>
    </row>
    <row r="46" customFormat="false" ht="12.8" hidden="false" customHeight="false" outlineLevel="0" collapsed="false">
      <c r="A46" s="0" t="n">
        <v>200</v>
      </c>
      <c r="B46" s="0" t="s">
        <v>99</v>
      </c>
      <c r="C46" s="0" t="s">
        <v>20</v>
      </c>
      <c r="D46" s="0" t="str">
        <f aca="false">A46&amp;C46&amp;B46</f>
        <v>200PE100SDR9</v>
      </c>
      <c r="E46" s="0" t="n">
        <f aca="false">(A46-(2*(A46/(RIGHT(B46,LEN(B46)-3)))))/1000</f>
        <v>0.155555555555556</v>
      </c>
      <c r="F46" s="0" t="n">
        <v>20</v>
      </c>
    </row>
    <row r="47" customFormat="false" ht="12.8" hidden="false" customHeight="false" outlineLevel="0" collapsed="false">
      <c r="A47" s="0" t="n">
        <v>225</v>
      </c>
      <c r="B47" s="0" t="s">
        <v>99</v>
      </c>
      <c r="C47" s="0" t="s">
        <v>20</v>
      </c>
      <c r="D47" s="0" t="str">
        <f aca="false">A47&amp;C47&amp;B47</f>
        <v>225PE100SDR9</v>
      </c>
      <c r="E47" s="0" t="n">
        <f aca="false">(A47-(2*(A47/(RIGHT(B47,LEN(B47)-3)))))/1000</f>
        <v>0.175</v>
      </c>
      <c r="F47" s="0" t="n">
        <v>20</v>
      </c>
    </row>
    <row r="48" customFormat="false" ht="12.8" hidden="false" customHeight="false" outlineLevel="0" collapsed="false">
      <c r="A48" s="0" t="n">
        <v>250</v>
      </c>
      <c r="B48" s="0" t="s">
        <v>99</v>
      </c>
      <c r="C48" s="0" t="s">
        <v>20</v>
      </c>
      <c r="D48" s="0" t="str">
        <f aca="false">A48&amp;C48&amp;B48</f>
        <v>250PE100SDR9</v>
      </c>
      <c r="E48" s="0" t="n">
        <f aca="false">(A48-(2*(A48/(RIGHT(B48,LEN(B48)-3)))))/1000</f>
        <v>0.194444444444444</v>
      </c>
      <c r="F48" s="0" t="n">
        <v>20</v>
      </c>
    </row>
    <row r="49" customFormat="false" ht="12.8" hidden="false" customHeight="false" outlineLevel="0" collapsed="false">
      <c r="A49" s="0" t="n">
        <v>280</v>
      </c>
      <c r="B49" s="0" t="s">
        <v>99</v>
      </c>
      <c r="C49" s="0" t="s">
        <v>20</v>
      </c>
      <c r="D49" s="0" t="str">
        <f aca="false">A49&amp;C49&amp;B49</f>
        <v>280PE100SDR9</v>
      </c>
      <c r="E49" s="0" t="n">
        <f aca="false">(A49-(2*(A49/(RIGHT(B49,LEN(B49)-3)))))/1000</f>
        <v>0.217777777777778</v>
      </c>
      <c r="F49" s="0" t="n">
        <v>20</v>
      </c>
    </row>
    <row r="50" customFormat="false" ht="12.8" hidden="false" customHeight="false" outlineLevel="0" collapsed="false">
      <c r="A50" s="0" t="n">
        <v>315</v>
      </c>
      <c r="B50" s="0" t="s">
        <v>99</v>
      </c>
      <c r="C50" s="0" t="s">
        <v>20</v>
      </c>
      <c r="D50" s="0" t="str">
        <f aca="false">A50&amp;C50&amp;B50</f>
        <v>315PE100SDR9</v>
      </c>
      <c r="E50" s="0" t="n">
        <f aca="false">(A50-(2*(A50/(RIGHT(B50,LEN(B50)-3)))))/1000</f>
        <v>0.245</v>
      </c>
      <c r="F50" s="0" t="n">
        <v>20</v>
      </c>
    </row>
    <row r="51" customFormat="false" ht="12.8" hidden="false" customHeight="false" outlineLevel="0" collapsed="false">
      <c r="A51" s="0" t="n">
        <v>355</v>
      </c>
      <c r="B51" s="0" t="s">
        <v>99</v>
      </c>
      <c r="C51" s="0" t="s">
        <v>20</v>
      </c>
      <c r="D51" s="0" t="str">
        <f aca="false">A51&amp;C51&amp;B51</f>
        <v>355PE100SDR9</v>
      </c>
      <c r="E51" s="0" t="n">
        <f aca="false">(A51-(2*(A51/(RIGHT(B51,LEN(B51)-3)))))/1000</f>
        <v>0.276111111111111</v>
      </c>
      <c r="F51" s="0" t="n">
        <v>20</v>
      </c>
    </row>
    <row r="52" customFormat="false" ht="12.8" hidden="false" customHeight="false" outlineLevel="0" collapsed="false">
      <c r="A52" s="0" t="n">
        <v>400</v>
      </c>
      <c r="B52" s="0" t="s">
        <v>99</v>
      </c>
      <c r="C52" s="0" t="s">
        <v>20</v>
      </c>
      <c r="D52" s="0" t="str">
        <f aca="false">A52&amp;C52&amp;B52</f>
        <v>400PE100SDR9</v>
      </c>
      <c r="E52" s="0" t="n">
        <f aca="false">(A52-(2*(A52/(RIGHT(B52,LEN(B52)-3)))))/1000</f>
        <v>0.311111111111111</v>
      </c>
      <c r="F52" s="0" t="n">
        <v>20</v>
      </c>
    </row>
    <row r="53" customFormat="false" ht="12.8" hidden="false" customHeight="false" outlineLevel="0" collapsed="false">
      <c r="A53" s="0" t="n">
        <v>450</v>
      </c>
      <c r="B53" s="0" t="s">
        <v>99</v>
      </c>
      <c r="C53" s="0" t="s">
        <v>20</v>
      </c>
      <c r="D53" s="0" t="str">
        <f aca="false">A53&amp;C53&amp;B53</f>
        <v>450PE100SDR9</v>
      </c>
      <c r="E53" s="0" t="n">
        <f aca="false">(A53-(2*(A53/(RIGHT(B53,LEN(B53)-3)))))/1000</f>
        <v>0.35</v>
      </c>
      <c r="F53" s="0" t="n">
        <v>20</v>
      </c>
    </row>
    <row r="54" customFormat="false" ht="12.8" hidden="false" customHeight="false" outlineLevel="0" collapsed="false">
      <c r="A54" s="0" t="n">
        <v>500</v>
      </c>
      <c r="B54" s="0" t="s">
        <v>99</v>
      </c>
      <c r="C54" s="0" t="s">
        <v>20</v>
      </c>
      <c r="D54" s="0" t="str">
        <f aca="false">A54&amp;C54&amp;B54</f>
        <v>500PE100SDR9</v>
      </c>
      <c r="E54" s="0" t="n">
        <f aca="false">(A54-(2*(A54/(RIGHT(B54,LEN(B54)-3)))))/1000</f>
        <v>0.388888888888889</v>
      </c>
      <c r="F54" s="0" t="n">
        <v>20</v>
      </c>
    </row>
    <row r="55" customFormat="false" ht="12.8" hidden="false" customHeight="false" outlineLevel="0" collapsed="false">
      <c r="A55" s="0" t="n">
        <v>560</v>
      </c>
      <c r="B55" s="0" t="s">
        <v>99</v>
      </c>
      <c r="C55" s="0" t="s">
        <v>20</v>
      </c>
      <c r="D55" s="0" t="str">
        <f aca="false">A55&amp;C55&amp;B55</f>
        <v>560PE100SDR9</v>
      </c>
      <c r="E55" s="0" t="n">
        <f aca="false">(A55-(2*(A55/(RIGHT(B55,LEN(B55)-3)))))/1000</f>
        <v>0.435555555555556</v>
      </c>
      <c r="F55" s="0" t="n">
        <v>20</v>
      </c>
    </row>
    <row r="56" customFormat="false" ht="12.8" hidden="false" customHeight="false" outlineLevel="0" collapsed="false">
      <c r="A56" s="0" t="n">
        <v>630</v>
      </c>
      <c r="B56" s="0" t="s">
        <v>99</v>
      </c>
      <c r="C56" s="0" t="s">
        <v>20</v>
      </c>
      <c r="D56" s="0" t="str">
        <f aca="false">A56&amp;C56&amp;B56</f>
        <v>630PE100SDR9</v>
      </c>
      <c r="E56" s="0" t="n">
        <f aca="false">(A56-(2*(A56/(RIGHT(B56,LEN(B56)-3)))))/1000</f>
        <v>0.49</v>
      </c>
      <c r="F56" s="0" t="n">
        <v>20</v>
      </c>
    </row>
    <row r="57" customFormat="false" ht="12.8" hidden="false" customHeight="false" outlineLevel="0" collapsed="false">
      <c r="A57" s="0" t="n">
        <v>710</v>
      </c>
      <c r="B57" s="0" t="s">
        <v>99</v>
      </c>
      <c r="C57" s="0" t="s">
        <v>20</v>
      </c>
      <c r="D57" s="0" t="str">
        <f aca="false">A57&amp;C57&amp;B57</f>
        <v>710PE100SDR9</v>
      </c>
      <c r="E57" s="0" t="n">
        <f aca="false">(A57-(2*(A57/(RIGHT(B57,LEN(B57)-3)))))/1000</f>
        <v>0.552222222222222</v>
      </c>
      <c r="F57" s="0" t="n">
        <v>20</v>
      </c>
    </row>
    <row r="58" customFormat="false" ht="12.8" hidden="false" customHeight="false" outlineLevel="0" collapsed="false">
      <c r="A58" s="0" t="n">
        <v>800</v>
      </c>
      <c r="B58" s="0" t="s">
        <v>99</v>
      </c>
      <c r="C58" s="0" t="s">
        <v>20</v>
      </c>
      <c r="D58" s="0" t="str">
        <f aca="false">A58&amp;C58&amp;B58</f>
        <v>800PE100SDR9</v>
      </c>
      <c r="E58" s="0" t="n">
        <f aca="false">(A58-(2*(A58/(RIGHT(B58,LEN(B58)-3)))))/1000</f>
        <v>0.622222222222222</v>
      </c>
      <c r="F58" s="0" t="n">
        <v>20</v>
      </c>
    </row>
    <row r="59" customFormat="false" ht="12.8" hidden="false" customHeight="false" outlineLevel="0" collapsed="false">
      <c r="A59" s="0" t="n">
        <v>900</v>
      </c>
      <c r="B59" s="0" t="s">
        <v>99</v>
      </c>
      <c r="C59" s="0" t="s">
        <v>20</v>
      </c>
      <c r="D59" s="0" t="str">
        <f aca="false">A59&amp;C59&amp;B59</f>
        <v>900PE100SDR9</v>
      </c>
      <c r="E59" s="0" t="n">
        <f aca="false">(A59-(2*(A59/(RIGHT(B59,LEN(B59)-3)))))/1000</f>
        <v>0.7</v>
      </c>
      <c r="F59" s="0" t="n">
        <v>20</v>
      </c>
    </row>
    <row r="60" customFormat="false" ht="12.8" hidden="false" customHeight="false" outlineLevel="0" collapsed="false">
      <c r="A60" s="0" t="n">
        <v>1000</v>
      </c>
      <c r="B60" s="0" t="s">
        <v>99</v>
      </c>
      <c r="C60" s="0" t="s">
        <v>20</v>
      </c>
      <c r="D60" s="0" t="str">
        <f aca="false">A60&amp;C60&amp;B60</f>
        <v>1000PE100SDR9</v>
      </c>
      <c r="E60" s="0" t="n">
        <f aca="false">(A60-(2*(A60/(RIGHT(B60,LEN(B60)-3)))))/1000</f>
        <v>0.777777777777778</v>
      </c>
      <c r="F60" s="0" t="n">
        <v>20</v>
      </c>
    </row>
    <row r="61" customFormat="false" ht="12.8" hidden="false" customHeight="false" outlineLevel="0" collapsed="false">
      <c r="A61" s="0" t="n">
        <v>1200</v>
      </c>
      <c r="B61" s="0" t="s">
        <v>99</v>
      </c>
      <c r="C61" s="0" t="s">
        <v>20</v>
      </c>
      <c r="D61" s="0" t="str">
        <f aca="false">A61&amp;C61&amp;B61</f>
        <v>1200PE100SDR9</v>
      </c>
      <c r="E61" s="0" t="n">
        <f aca="false">(A61-(2*(A61/(RIGHT(B61,LEN(B61)-3)))))/1000</f>
        <v>0.933333333333333</v>
      </c>
      <c r="F61" s="0" t="n">
        <v>20</v>
      </c>
    </row>
    <row r="62" customFormat="false" ht="12.8" hidden="false" customHeight="false" outlineLevel="0" collapsed="false">
      <c r="A62" s="0" t="n">
        <v>16</v>
      </c>
      <c r="B62" s="0" t="s">
        <v>100</v>
      </c>
      <c r="C62" s="0" t="s">
        <v>20</v>
      </c>
      <c r="D62" s="0" t="str">
        <f aca="false">A62&amp;C62&amp;B62</f>
        <v>16PE100SDR11</v>
      </c>
      <c r="E62" s="0" t="n">
        <f aca="false">(A62-(2*(A62/(RIGHT(B62,LEN(B62)-3)))))/1000</f>
        <v>0.0130909090909091</v>
      </c>
      <c r="F62" s="0" t="n">
        <v>16</v>
      </c>
    </row>
    <row r="63" customFormat="false" ht="12.8" hidden="false" customHeight="false" outlineLevel="0" collapsed="false">
      <c r="A63" s="0" t="n">
        <v>20</v>
      </c>
      <c r="B63" s="0" t="s">
        <v>100</v>
      </c>
      <c r="C63" s="0" t="s">
        <v>20</v>
      </c>
      <c r="D63" s="0" t="str">
        <f aca="false">A63&amp;C63&amp;B63</f>
        <v>20PE100SDR11</v>
      </c>
      <c r="E63" s="0" t="n">
        <f aca="false">(A63-(2*(A63/(RIGHT(B63,LEN(B63)-3)))))/1000</f>
        <v>0.0163636363636364</v>
      </c>
      <c r="F63" s="0" t="n">
        <v>16</v>
      </c>
    </row>
    <row r="64" customFormat="false" ht="12.8" hidden="false" customHeight="false" outlineLevel="0" collapsed="false">
      <c r="A64" s="0" t="n">
        <v>25</v>
      </c>
      <c r="B64" s="0" t="s">
        <v>100</v>
      </c>
      <c r="C64" s="0" t="s">
        <v>20</v>
      </c>
      <c r="D64" s="0" t="str">
        <f aca="false">A64&amp;C64&amp;B64</f>
        <v>25PE100SDR11</v>
      </c>
      <c r="E64" s="0" t="n">
        <f aca="false">(A64-(2*(A64/(RIGHT(B64,LEN(B64)-3)))))/1000</f>
        <v>0.0204545454545455</v>
      </c>
      <c r="F64" s="0" t="n">
        <v>16</v>
      </c>
    </row>
    <row r="65" customFormat="false" ht="12.8" hidden="false" customHeight="false" outlineLevel="0" collapsed="false">
      <c r="A65" s="0" t="n">
        <v>32</v>
      </c>
      <c r="B65" s="0" t="s">
        <v>100</v>
      </c>
      <c r="C65" s="0" t="s">
        <v>20</v>
      </c>
      <c r="D65" s="0" t="str">
        <f aca="false">A65&amp;C65&amp;B65</f>
        <v>32PE100SDR11</v>
      </c>
      <c r="E65" s="0" t="n">
        <f aca="false">(A65-(2*(A65/(RIGHT(B65,LEN(B65)-3)))))/1000</f>
        <v>0.0261818181818182</v>
      </c>
      <c r="F65" s="0" t="n">
        <v>16</v>
      </c>
    </row>
    <row r="66" customFormat="false" ht="12.8" hidden="false" customHeight="false" outlineLevel="0" collapsed="false">
      <c r="A66" s="0" t="n">
        <v>40</v>
      </c>
      <c r="B66" s="0" t="s">
        <v>100</v>
      </c>
      <c r="C66" s="0" t="s">
        <v>20</v>
      </c>
      <c r="D66" s="0" t="str">
        <f aca="false">A66&amp;C66&amp;B66</f>
        <v>40PE100SDR11</v>
      </c>
      <c r="E66" s="0" t="n">
        <f aca="false">(A66-(2*(A66/(RIGHT(B66,LEN(B66)-3)))))/1000</f>
        <v>0.0327272727272727</v>
      </c>
      <c r="F66" s="0" t="n">
        <v>16</v>
      </c>
    </row>
    <row r="67" customFormat="false" ht="12.8" hidden="false" customHeight="false" outlineLevel="0" collapsed="false">
      <c r="A67" s="0" t="n">
        <v>50</v>
      </c>
      <c r="B67" s="0" t="s">
        <v>100</v>
      </c>
      <c r="C67" s="0" t="s">
        <v>20</v>
      </c>
      <c r="D67" s="0" t="str">
        <f aca="false">A67&amp;C67&amp;B67</f>
        <v>50PE100SDR11</v>
      </c>
      <c r="E67" s="0" t="n">
        <f aca="false">(A67-(2*(A67/(RIGHT(B67,LEN(B67)-3)))))/1000</f>
        <v>0.0409090909090909</v>
      </c>
      <c r="F67" s="0" t="n">
        <v>16</v>
      </c>
    </row>
    <row r="68" customFormat="false" ht="12.8" hidden="false" customHeight="false" outlineLevel="0" collapsed="false">
      <c r="A68" s="0" t="n">
        <v>63</v>
      </c>
      <c r="B68" s="0" t="s">
        <v>100</v>
      </c>
      <c r="C68" s="0" t="s">
        <v>20</v>
      </c>
      <c r="D68" s="0" t="str">
        <f aca="false">A68&amp;C68&amp;B68</f>
        <v>63PE100SDR11</v>
      </c>
      <c r="E68" s="0" t="n">
        <f aca="false">(A68-(2*(A68/(RIGHT(B68,LEN(B68)-3)))))/1000</f>
        <v>0.0515454545454546</v>
      </c>
      <c r="F68" s="0" t="n">
        <v>16</v>
      </c>
    </row>
    <row r="69" customFormat="false" ht="12.8" hidden="false" customHeight="false" outlineLevel="0" collapsed="false">
      <c r="A69" s="0" t="n">
        <v>75</v>
      </c>
      <c r="B69" s="0" t="s">
        <v>100</v>
      </c>
      <c r="C69" s="0" t="s">
        <v>20</v>
      </c>
      <c r="D69" s="0" t="str">
        <f aca="false">A69&amp;C69&amp;B69</f>
        <v>75PE100SDR11</v>
      </c>
      <c r="E69" s="0" t="n">
        <f aca="false">(A69-(2*(A69/(RIGHT(B69,LEN(B69)-3)))))/1000</f>
        <v>0.0613636363636364</v>
      </c>
      <c r="F69" s="0" t="n">
        <v>16</v>
      </c>
    </row>
    <row r="70" customFormat="false" ht="12.8" hidden="false" customHeight="false" outlineLevel="0" collapsed="false">
      <c r="A70" s="0" t="n">
        <v>90</v>
      </c>
      <c r="B70" s="0" t="s">
        <v>100</v>
      </c>
      <c r="C70" s="0" t="s">
        <v>20</v>
      </c>
      <c r="D70" s="0" t="str">
        <f aca="false">A70&amp;C70&amp;B70</f>
        <v>90PE100SDR11</v>
      </c>
      <c r="E70" s="0" t="n">
        <f aca="false">(A70-(2*(A70/(RIGHT(B70,LEN(B70)-3)))))/1000</f>
        <v>0.0736363636363636</v>
      </c>
      <c r="F70" s="0" t="n">
        <v>16</v>
      </c>
    </row>
    <row r="71" customFormat="false" ht="12.8" hidden="false" customHeight="false" outlineLevel="0" collapsed="false">
      <c r="A71" s="0" t="n">
        <v>110</v>
      </c>
      <c r="B71" s="0" t="s">
        <v>100</v>
      </c>
      <c r="C71" s="0" t="s">
        <v>20</v>
      </c>
      <c r="D71" s="0" t="str">
        <f aca="false">A71&amp;C71&amp;B71</f>
        <v>110PE100SDR11</v>
      </c>
      <c r="E71" s="0" t="n">
        <f aca="false">(A71-(2*(A71/(RIGHT(B71,LEN(B71)-3)))))/1000</f>
        <v>0.09</v>
      </c>
      <c r="F71" s="0" t="n">
        <v>16</v>
      </c>
    </row>
    <row r="72" customFormat="false" ht="12.8" hidden="false" customHeight="false" outlineLevel="0" collapsed="false">
      <c r="A72" s="0" t="n">
        <v>125</v>
      </c>
      <c r="B72" s="0" t="s">
        <v>100</v>
      </c>
      <c r="C72" s="0" t="s">
        <v>20</v>
      </c>
      <c r="D72" s="0" t="str">
        <f aca="false">A72&amp;C72&amp;B72</f>
        <v>125PE100SDR11</v>
      </c>
      <c r="E72" s="0" t="n">
        <f aca="false">(A72-(2*(A72/(RIGHT(B72,LEN(B72)-3)))))/1000</f>
        <v>0.102272727272727</v>
      </c>
      <c r="F72" s="0" t="n">
        <v>16</v>
      </c>
    </row>
    <row r="73" customFormat="false" ht="12.8" hidden="false" customHeight="false" outlineLevel="0" collapsed="false">
      <c r="A73" s="0" t="n">
        <v>140</v>
      </c>
      <c r="B73" s="0" t="s">
        <v>100</v>
      </c>
      <c r="C73" s="0" t="s">
        <v>20</v>
      </c>
      <c r="D73" s="0" t="str">
        <f aca="false">A73&amp;C73&amp;B73</f>
        <v>140PE100SDR11</v>
      </c>
      <c r="E73" s="0" t="n">
        <f aca="false">(A73-(2*(A73/(RIGHT(B73,LEN(B73)-3)))))/1000</f>
        <v>0.114545454545455</v>
      </c>
      <c r="F73" s="0" t="n">
        <v>16</v>
      </c>
    </row>
    <row r="74" customFormat="false" ht="12.8" hidden="false" customHeight="false" outlineLevel="0" collapsed="false">
      <c r="A74" s="0" t="n">
        <v>160</v>
      </c>
      <c r="B74" s="0" t="s">
        <v>100</v>
      </c>
      <c r="C74" s="0" t="s">
        <v>20</v>
      </c>
      <c r="D74" s="0" t="str">
        <f aca="false">A74&amp;C74&amp;B74</f>
        <v>160PE100SDR11</v>
      </c>
      <c r="E74" s="0" t="n">
        <f aca="false">(A74-(2*(A74/(RIGHT(B74,LEN(B74)-3)))))/1000</f>
        <v>0.130909090909091</v>
      </c>
      <c r="F74" s="0" t="n">
        <v>16</v>
      </c>
    </row>
    <row r="75" customFormat="false" ht="12.8" hidden="false" customHeight="false" outlineLevel="0" collapsed="false">
      <c r="A75" s="0" t="n">
        <v>180</v>
      </c>
      <c r="B75" s="0" t="s">
        <v>100</v>
      </c>
      <c r="C75" s="0" t="s">
        <v>20</v>
      </c>
      <c r="D75" s="0" t="str">
        <f aca="false">A75&amp;C75&amp;B75</f>
        <v>180PE100SDR11</v>
      </c>
      <c r="E75" s="0" t="n">
        <f aca="false">(A75-(2*(A75/(RIGHT(B75,LEN(B75)-3)))))/1000</f>
        <v>0.147272727272727</v>
      </c>
      <c r="F75" s="0" t="n">
        <v>16</v>
      </c>
    </row>
    <row r="76" customFormat="false" ht="12.8" hidden="false" customHeight="false" outlineLevel="0" collapsed="false">
      <c r="A76" s="0" t="n">
        <v>200</v>
      </c>
      <c r="B76" s="0" t="s">
        <v>100</v>
      </c>
      <c r="C76" s="0" t="s">
        <v>20</v>
      </c>
      <c r="D76" s="0" t="str">
        <f aca="false">A76&amp;C76&amp;B76</f>
        <v>200PE100SDR11</v>
      </c>
      <c r="E76" s="0" t="n">
        <f aca="false">(A76-(2*(A76/(RIGHT(B76,LEN(B76)-3)))))/1000</f>
        <v>0.163636363636364</v>
      </c>
      <c r="F76" s="0" t="n">
        <v>16</v>
      </c>
    </row>
    <row r="77" customFormat="false" ht="12.8" hidden="false" customHeight="false" outlineLevel="0" collapsed="false">
      <c r="A77" s="0" t="n">
        <v>225</v>
      </c>
      <c r="B77" s="0" t="s">
        <v>100</v>
      </c>
      <c r="C77" s="0" t="s">
        <v>20</v>
      </c>
      <c r="D77" s="0" t="str">
        <f aca="false">A77&amp;C77&amp;B77</f>
        <v>225PE100SDR11</v>
      </c>
      <c r="E77" s="0" t="n">
        <f aca="false">(A77-(2*(A77/(RIGHT(B77,LEN(B77)-3)))))/1000</f>
        <v>0.184090909090909</v>
      </c>
      <c r="F77" s="0" t="n">
        <v>16</v>
      </c>
    </row>
    <row r="78" customFormat="false" ht="12.8" hidden="false" customHeight="false" outlineLevel="0" collapsed="false">
      <c r="A78" s="0" t="n">
        <v>250</v>
      </c>
      <c r="B78" s="0" t="s">
        <v>100</v>
      </c>
      <c r="C78" s="0" t="s">
        <v>20</v>
      </c>
      <c r="D78" s="0" t="str">
        <f aca="false">A78&amp;C78&amp;B78</f>
        <v>250PE100SDR11</v>
      </c>
      <c r="E78" s="0" t="n">
        <f aca="false">(A78-(2*(A78/(RIGHT(B78,LEN(B78)-3)))))/1000</f>
        <v>0.204545454545455</v>
      </c>
      <c r="F78" s="0" t="n">
        <v>16</v>
      </c>
    </row>
    <row r="79" customFormat="false" ht="12.8" hidden="false" customHeight="false" outlineLevel="0" collapsed="false">
      <c r="A79" s="0" t="n">
        <v>280</v>
      </c>
      <c r="B79" s="0" t="s">
        <v>100</v>
      </c>
      <c r="C79" s="0" t="s">
        <v>20</v>
      </c>
      <c r="D79" s="0" t="str">
        <f aca="false">A79&amp;C79&amp;B79</f>
        <v>280PE100SDR11</v>
      </c>
      <c r="E79" s="0" t="n">
        <f aca="false">(A79-(2*(A79/(RIGHT(B79,LEN(B79)-3)))))/1000</f>
        <v>0.229090909090909</v>
      </c>
      <c r="F79" s="0" t="n">
        <v>16</v>
      </c>
    </row>
    <row r="80" customFormat="false" ht="12.8" hidden="false" customHeight="false" outlineLevel="0" collapsed="false">
      <c r="A80" s="0" t="n">
        <v>315</v>
      </c>
      <c r="B80" s="0" t="s">
        <v>100</v>
      </c>
      <c r="C80" s="0" t="s">
        <v>20</v>
      </c>
      <c r="D80" s="0" t="str">
        <f aca="false">A80&amp;C80&amp;B80</f>
        <v>315PE100SDR11</v>
      </c>
      <c r="E80" s="0" t="n">
        <f aca="false">(A80-(2*(A80/(RIGHT(B80,LEN(B80)-3)))))/1000</f>
        <v>0.257727272727273</v>
      </c>
      <c r="F80" s="0" t="n">
        <v>16</v>
      </c>
    </row>
    <row r="81" customFormat="false" ht="12.8" hidden="false" customHeight="false" outlineLevel="0" collapsed="false">
      <c r="A81" s="0" t="n">
        <v>355</v>
      </c>
      <c r="B81" s="0" t="s">
        <v>100</v>
      </c>
      <c r="C81" s="0" t="s">
        <v>20</v>
      </c>
      <c r="D81" s="0" t="str">
        <f aca="false">A81&amp;C81&amp;B81</f>
        <v>355PE100SDR11</v>
      </c>
      <c r="E81" s="0" t="n">
        <f aca="false">(A81-(2*(A81/(RIGHT(B81,LEN(B81)-3)))))/1000</f>
        <v>0.290454545454545</v>
      </c>
      <c r="F81" s="0" t="n">
        <v>16</v>
      </c>
    </row>
    <row r="82" customFormat="false" ht="12.8" hidden="false" customHeight="false" outlineLevel="0" collapsed="false">
      <c r="A82" s="0" t="n">
        <v>400</v>
      </c>
      <c r="B82" s="0" t="s">
        <v>100</v>
      </c>
      <c r="C82" s="0" t="s">
        <v>20</v>
      </c>
      <c r="D82" s="0" t="str">
        <f aca="false">A82&amp;C82&amp;B82</f>
        <v>400PE100SDR11</v>
      </c>
      <c r="E82" s="0" t="n">
        <f aca="false">(A82-(2*(A82/(RIGHT(B82,LEN(B82)-3)))))/1000</f>
        <v>0.327272727272727</v>
      </c>
      <c r="F82" s="0" t="n">
        <v>16</v>
      </c>
    </row>
    <row r="83" customFormat="false" ht="12.8" hidden="false" customHeight="false" outlineLevel="0" collapsed="false">
      <c r="A83" s="0" t="n">
        <v>450</v>
      </c>
      <c r="B83" s="0" t="s">
        <v>100</v>
      </c>
      <c r="C83" s="0" t="s">
        <v>20</v>
      </c>
      <c r="D83" s="0" t="str">
        <f aca="false">A83&amp;C83&amp;B83</f>
        <v>450PE100SDR11</v>
      </c>
      <c r="E83" s="0" t="n">
        <f aca="false">(A83-(2*(A83/(RIGHT(B83,LEN(B83)-3)))))/1000</f>
        <v>0.368181818181818</v>
      </c>
      <c r="F83" s="0" t="n">
        <v>16</v>
      </c>
    </row>
    <row r="84" customFormat="false" ht="12.8" hidden="false" customHeight="false" outlineLevel="0" collapsed="false">
      <c r="A84" s="0" t="n">
        <v>500</v>
      </c>
      <c r="B84" s="0" t="s">
        <v>100</v>
      </c>
      <c r="C84" s="0" t="s">
        <v>20</v>
      </c>
      <c r="D84" s="0" t="str">
        <f aca="false">A84&amp;C84&amp;B84</f>
        <v>500PE100SDR11</v>
      </c>
      <c r="E84" s="0" t="n">
        <f aca="false">(A84-(2*(A84/(RIGHT(B84,LEN(B84)-3)))))/1000</f>
        <v>0.409090909090909</v>
      </c>
      <c r="F84" s="0" t="n">
        <v>16</v>
      </c>
    </row>
    <row r="85" customFormat="false" ht="12.8" hidden="false" customHeight="false" outlineLevel="0" collapsed="false">
      <c r="A85" s="0" t="n">
        <v>560</v>
      </c>
      <c r="B85" s="0" t="s">
        <v>100</v>
      </c>
      <c r="C85" s="0" t="s">
        <v>20</v>
      </c>
      <c r="D85" s="0" t="str">
        <f aca="false">A85&amp;C85&amp;B85</f>
        <v>560PE100SDR11</v>
      </c>
      <c r="E85" s="0" t="n">
        <f aca="false">(A85-(2*(A85/(RIGHT(B85,LEN(B85)-3)))))/1000</f>
        <v>0.458181818181818</v>
      </c>
      <c r="F85" s="0" t="n">
        <v>16</v>
      </c>
    </row>
    <row r="86" customFormat="false" ht="12.8" hidden="false" customHeight="false" outlineLevel="0" collapsed="false">
      <c r="A86" s="0" t="n">
        <v>630</v>
      </c>
      <c r="B86" s="0" t="s">
        <v>100</v>
      </c>
      <c r="C86" s="0" t="s">
        <v>20</v>
      </c>
      <c r="D86" s="0" t="str">
        <f aca="false">A86&amp;C86&amp;B86</f>
        <v>630PE100SDR11</v>
      </c>
      <c r="E86" s="0" t="n">
        <f aca="false">(A86-(2*(A86/(RIGHT(B86,LEN(B86)-3)))))/1000</f>
        <v>0.515454545454546</v>
      </c>
      <c r="F86" s="0" t="n">
        <v>16</v>
      </c>
    </row>
    <row r="87" customFormat="false" ht="12.8" hidden="false" customHeight="false" outlineLevel="0" collapsed="false">
      <c r="A87" s="0" t="n">
        <v>710</v>
      </c>
      <c r="B87" s="0" t="s">
        <v>100</v>
      </c>
      <c r="C87" s="0" t="s">
        <v>20</v>
      </c>
      <c r="D87" s="0" t="str">
        <f aca="false">A87&amp;C87&amp;B87</f>
        <v>710PE100SDR11</v>
      </c>
      <c r="E87" s="0" t="n">
        <f aca="false">(A87-(2*(A87/(RIGHT(B87,LEN(B87)-3)))))/1000</f>
        <v>0.580909090909091</v>
      </c>
      <c r="F87" s="0" t="n">
        <v>16</v>
      </c>
    </row>
    <row r="88" customFormat="false" ht="12.8" hidden="false" customHeight="false" outlineLevel="0" collapsed="false">
      <c r="A88" s="0" t="n">
        <v>800</v>
      </c>
      <c r="B88" s="0" t="s">
        <v>100</v>
      </c>
      <c r="C88" s="0" t="s">
        <v>20</v>
      </c>
      <c r="D88" s="0" t="str">
        <f aca="false">A88&amp;C88&amp;B88</f>
        <v>800PE100SDR11</v>
      </c>
      <c r="E88" s="0" t="n">
        <f aca="false">(A88-(2*(A88/(RIGHT(B88,LEN(B88)-3)))))/1000</f>
        <v>0.654545454545455</v>
      </c>
      <c r="F88" s="0" t="n">
        <v>16</v>
      </c>
    </row>
    <row r="89" customFormat="false" ht="12.8" hidden="false" customHeight="false" outlineLevel="0" collapsed="false">
      <c r="A89" s="0" t="n">
        <v>900</v>
      </c>
      <c r="B89" s="0" t="s">
        <v>100</v>
      </c>
      <c r="C89" s="0" t="s">
        <v>20</v>
      </c>
      <c r="D89" s="0" t="str">
        <f aca="false">A89&amp;C89&amp;B89</f>
        <v>900PE100SDR11</v>
      </c>
      <c r="E89" s="0" t="n">
        <f aca="false">(A89-(2*(A89/(RIGHT(B89,LEN(B89)-3)))))/1000</f>
        <v>0.736363636363636</v>
      </c>
      <c r="F89" s="0" t="n">
        <v>16</v>
      </c>
    </row>
    <row r="90" customFormat="false" ht="12.8" hidden="false" customHeight="false" outlineLevel="0" collapsed="false">
      <c r="A90" s="0" t="n">
        <v>1000</v>
      </c>
      <c r="B90" s="0" t="s">
        <v>100</v>
      </c>
      <c r="C90" s="0" t="s">
        <v>20</v>
      </c>
      <c r="D90" s="0" t="str">
        <f aca="false">A90&amp;C90&amp;B90</f>
        <v>1000PE100SDR11</v>
      </c>
      <c r="E90" s="0" t="n">
        <f aca="false">(A90-(2*(A90/(RIGHT(B90,LEN(B90)-3)))))/1000</f>
        <v>0.818181818181818</v>
      </c>
      <c r="F90" s="0" t="n">
        <v>16</v>
      </c>
    </row>
    <row r="91" customFormat="false" ht="12.8" hidden="false" customHeight="false" outlineLevel="0" collapsed="false">
      <c r="A91" s="0" t="n">
        <v>1200</v>
      </c>
      <c r="B91" s="0" t="s">
        <v>100</v>
      </c>
      <c r="C91" s="0" t="s">
        <v>20</v>
      </c>
      <c r="D91" s="0" t="str">
        <f aca="false">A91&amp;C91&amp;B91</f>
        <v>1200PE100SDR11</v>
      </c>
      <c r="E91" s="0" t="n">
        <f aca="false">(A91-(2*(A91/(RIGHT(B91,LEN(B91)-3)))))/1000</f>
        <v>0.981818181818182</v>
      </c>
      <c r="F91" s="0" t="n">
        <v>16</v>
      </c>
    </row>
    <row r="92" customFormat="false" ht="12.8" hidden="false" customHeight="false" outlineLevel="0" collapsed="false">
      <c r="A92" s="0" t="n">
        <v>16</v>
      </c>
      <c r="B92" s="0" t="s">
        <v>101</v>
      </c>
      <c r="C92" s="0" t="s">
        <v>20</v>
      </c>
      <c r="D92" s="0" t="str">
        <f aca="false">A92&amp;C92&amp;B92</f>
        <v>16PE100SDR13.6</v>
      </c>
      <c r="E92" s="0" t="n">
        <f aca="false">(A92-(2*(A92/(RIGHT(B92,LEN(B92)-3)))))/1000</f>
        <v>0.0136470588235294</v>
      </c>
      <c r="F92" s="0" t="n">
        <v>12.5</v>
      </c>
    </row>
    <row r="93" customFormat="false" ht="12.8" hidden="false" customHeight="false" outlineLevel="0" collapsed="false">
      <c r="A93" s="0" t="n">
        <v>20</v>
      </c>
      <c r="B93" s="0" t="s">
        <v>101</v>
      </c>
      <c r="C93" s="0" t="s">
        <v>20</v>
      </c>
      <c r="D93" s="0" t="str">
        <f aca="false">A93&amp;C93&amp;B93</f>
        <v>20PE100SDR13.6</v>
      </c>
      <c r="E93" s="0" t="n">
        <f aca="false">(A93-(2*(A93/(RIGHT(B93,LEN(B93)-3)))))/1000</f>
        <v>0.0170588235294118</v>
      </c>
      <c r="F93" s="0" t="n">
        <v>12.5</v>
      </c>
    </row>
    <row r="94" customFormat="false" ht="12.8" hidden="false" customHeight="false" outlineLevel="0" collapsed="false">
      <c r="A94" s="0" t="n">
        <v>25</v>
      </c>
      <c r="B94" s="0" t="s">
        <v>101</v>
      </c>
      <c r="C94" s="0" t="s">
        <v>20</v>
      </c>
      <c r="D94" s="0" t="str">
        <f aca="false">A94&amp;C94&amp;B94</f>
        <v>25PE100SDR13.6</v>
      </c>
      <c r="E94" s="0" t="n">
        <f aca="false">(A94-(2*(A94/(RIGHT(B94,LEN(B94)-3)))))/1000</f>
        <v>0.0213235294117647</v>
      </c>
      <c r="F94" s="0" t="n">
        <v>12.5</v>
      </c>
    </row>
    <row r="95" customFormat="false" ht="12.8" hidden="false" customHeight="false" outlineLevel="0" collapsed="false">
      <c r="A95" s="0" t="n">
        <v>32</v>
      </c>
      <c r="B95" s="0" t="s">
        <v>101</v>
      </c>
      <c r="C95" s="0" t="s">
        <v>20</v>
      </c>
      <c r="D95" s="0" t="str">
        <f aca="false">A95&amp;C95&amp;B95</f>
        <v>32PE100SDR13.6</v>
      </c>
      <c r="E95" s="0" t="n">
        <f aca="false">(A95-(2*(A95/(RIGHT(B95,LEN(B95)-3)))))/1000</f>
        <v>0.0272941176470588</v>
      </c>
      <c r="F95" s="0" t="n">
        <v>12.5</v>
      </c>
    </row>
    <row r="96" customFormat="false" ht="12.8" hidden="false" customHeight="false" outlineLevel="0" collapsed="false">
      <c r="A96" s="0" t="n">
        <v>40</v>
      </c>
      <c r="B96" s="0" t="s">
        <v>101</v>
      </c>
      <c r="C96" s="0" t="s">
        <v>20</v>
      </c>
      <c r="D96" s="0" t="str">
        <f aca="false">A96&amp;C96&amp;B96</f>
        <v>40PE100SDR13.6</v>
      </c>
      <c r="E96" s="0" t="n">
        <f aca="false">(A96-(2*(A96/(RIGHT(B96,LEN(B96)-3)))))/1000</f>
        <v>0.0341176470588235</v>
      </c>
      <c r="F96" s="0" t="n">
        <v>12.5</v>
      </c>
    </row>
    <row r="97" customFormat="false" ht="12.8" hidden="false" customHeight="false" outlineLevel="0" collapsed="false">
      <c r="A97" s="0" t="n">
        <v>50</v>
      </c>
      <c r="B97" s="0" t="s">
        <v>101</v>
      </c>
      <c r="C97" s="0" t="s">
        <v>20</v>
      </c>
      <c r="D97" s="0" t="str">
        <f aca="false">A97&amp;C97&amp;B97</f>
        <v>50PE100SDR13.6</v>
      </c>
      <c r="E97" s="0" t="n">
        <f aca="false">(A97-(2*(A97/(RIGHT(B97,LEN(B97)-3)))))/1000</f>
        <v>0.0426470588235294</v>
      </c>
      <c r="F97" s="0" t="n">
        <v>12.5</v>
      </c>
    </row>
    <row r="98" customFormat="false" ht="12.8" hidden="false" customHeight="false" outlineLevel="0" collapsed="false">
      <c r="A98" s="0" t="n">
        <v>63</v>
      </c>
      <c r="B98" s="0" t="s">
        <v>101</v>
      </c>
      <c r="C98" s="0" t="s">
        <v>20</v>
      </c>
      <c r="D98" s="0" t="str">
        <f aca="false">A98&amp;C98&amp;B98</f>
        <v>63PE100SDR13.6</v>
      </c>
      <c r="E98" s="0" t="n">
        <f aca="false">(A98-(2*(A98/(RIGHT(B98,LEN(B98)-3)))))/1000</f>
        <v>0.0537352941176471</v>
      </c>
      <c r="F98" s="0" t="n">
        <v>12.5</v>
      </c>
    </row>
    <row r="99" customFormat="false" ht="12.8" hidden="false" customHeight="false" outlineLevel="0" collapsed="false">
      <c r="A99" s="0" t="n">
        <v>75</v>
      </c>
      <c r="B99" s="0" t="s">
        <v>101</v>
      </c>
      <c r="C99" s="0" t="s">
        <v>20</v>
      </c>
      <c r="D99" s="0" t="str">
        <f aca="false">A99&amp;C99&amp;B99</f>
        <v>75PE100SDR13.6</v>
      </c>
      <c r="E99" s="0" t="n">
        <f aca="false">(A99-(2*(A99/(RIGHT(B99,LEN(B99)-3)))))/1000</f>
        <v>0.0639705882352941</v>
      </c>
      <c r="F99" s="0" t="n">
        <v>12.5</v>
      </c>
    </row>
    <row r="100" customFormat="false" ht="12.8" hidden="false" customHeight="false" outlineLevel="0" collapsed="false">
      <c r="A100" s="0" t="n">
        <v>90</v>
      </c>
      <c r="B100" s="0" t="s">
        <v>101</v>
      </c>
      <c r="C100" s="0" t="s">
        <v>20</v>
      </c>
      <c r="D100" s="0" t="str">
        <f aca="false">A100&amp;C100&amp;B100</f>
        <v>90PE100SDR13.6</v>
      </c>
      <c r="E100" s="0" t="n">
        <f aca="false">(A100-(2*(A100/(RIGHT(B100,LEN(B100)-3)))))/1000</f>
        <v>0.0767647058823529</v>
      </c>
      <c r="F100" s="0" t="n">
        <v>12.5</v>
      </c>
    </row>
    <row r="101" customFormat="false" ht="12.8" hidden="false" customHeight="false" outlineLevel="0" collapsed="false">
      <c r="A101" s="0" t="n">
        <v>110</v>
      </c>
      <c r="B101" s="0" t="s">
        <v>101</v>
      </c>
      <c r="C101" s="0" t="s">
        <v>20</v>
      </c>
      <c r="D101" s="0" t="str">
        <f aca="false">A101&amp;C101&amp;B101</f>
        <v>110PE100SDR13.6</v>
      </c>
      <c r="E101" s="0" t="n">
        <f aca="false">(A101-(2*(A101/(RIGHT(B101,LEN(B101)-3)))))/1000</f>
        <v>0.0938235294117647</v>
      </c>
      <c r="F101" s="0" t="n">
        <v>12.5</v>
      </c>
    </row>
    <row r="102" customFormat="false" ht="12.8" hidden="false" customHeight="false" outlineLevel="0" collapsed="false">
      <c r="A102" s="0" t="n">
        <v>125</v>
      </c>
      <c r="B102" s="0" t="s">
        <v>101</v>
      </c>
      <c r="C102" s="0" t="s">
        <v>20</v>
      </c>
      <c r="D102" s="0" t="str">
        <f aca="false">A102&amp;C102&amp;B102</f>
        <v>125PE100SDR13.6</v>
      </c>
      <c r="E102" s="0" t="n">
        <f aca="false">(A102-(2*(A102/(RIGHT(B102,LEN(B102)-3)))))/1000</f>
        <v>0.106617647058824</v>
      </c>
      <c r="F102" s="0" t="n">
        <v>12.5</v>
      </c>
    </row>
    <row r="103" customFormat="false" ht="12.8" hidden="false" customHeight="false" outlineLevel="0" collapsed="false">
      <c r="A103" s="0" t="n">
        <v>140</v>
      </c>
      <c r="B103" s="0" t="s">
        <v>101</v>
      </c>
      <c r="C103" s="0" t="s">
        <v>20</v>
      </c>
      <c r="D103" s="0" t="str">
        <f aca="false">A103&amp;C103&amp;B103</f>
        <v>140PE100SDR13.6</v>
      </c>
      <c r="E103" s="0" t="n">
        <f aca="false">(A103-(2*(A103/(RIGHT(B103,LEN(B103)-3)))))/1000</f>
        <v>0.119411764705882</v>
      </c>
      <c r="F103" s="0" t="n">
        <v>12.5</v>
      </c>
    </row>
    <row r="104" customFormat="false" ht="12.8" hidden="false" customHeight="false" outlineLevel="0" collapsed="false">
      <c r="A104" s="0" t="n">
        <v>160</v>
      </c>
      <c r="B104" s="0" t="s">
        <v>101</v>
      </c>
      <c r="C104" s="0" t="s">
        <v>20</v>
      </c>
      <c r="D104" s="0" t="str">
        <f aca="false">A104&amp;C104&amp;B104</f>
        <v>160PE100SDR13.6</v>
      </c>
      <c r="E104" s="0" t="n">
        <f aca="false">(A104-(2*(A104/(RIGHT(B104,LEN(B104)-3)))))/1000</f>
        <v>0.136470588235294</v>
      </c>
      <c r="F104" s="0" t="n">
        <v>12.5</v>
      </c>
    </row>
    <row r="105" customFormat="false" ht="12.8" hidden="false" customHeight="false" outlineLevel="0" collapsed="false">
      <c r="A105" s="0" t="n">
        <v>180</v>
      </c>
      <c r="B105" s="0" t="s">
        <v>101</v>
      </c>
      <c r="C105" s="0" t="s">
        <v>20</v>
      </c>
      <c r="D105" s="0" t="str">
        <f aca="false">A105&amp;C105&amp;B105</f>
        <v>180PE100SDR13.6</v>
      </c>
      <c r="E105" s="0" t="n">
        <f aca="false">(A105-(2*(A105/(RIGHT(B105,LEN(B105)-3)))))/1000</f>
        <v>0.153529411764706</v>
      </c>
      <c r="F105" s="0" t="n">
        <v>12.5</v>
      </c>
    </row>
    <row r="106" customFormat="false" ht="12.8" hidden="false" customHeight="false" outlineLevel="0" collapsed="false">
      <c r="A106" s="0" t="n">
        <v>200</v>
      </c>
      <c r="B106" s="0" t="s">
        <v>101</v>
      </c>
      <c r="C106" s="0" t="s">
        <v>20</v>
      </c>
      <c r="D106" s="0" t="str">
        <f aca="false">A106&amp;C106&amp;B106</f>
        <v>200PE100SDR13.6</v>
      </c>
      <c r="E106" s="0" t="n">
        <f aca="false">(A106-(2*(A106/(RIGHT(B106,LEN(B106)-3)))))/1000</f>
        <v>0.170588235294118</v>
      </c>
      <c r="F106" s="0" t="n">
        <v>12.5</v>
      </c>
    </row>
    <row r="107" customFormat="false" ht="12.8" hidden="false" customHeight="false" outlineLevel="0" collapsed="false">
      <c r="A107" s="0" t="n">
        <v>225</v>
      </c>
      <c r="B107" s="0" t="s">
        <v>101</v>
      </c>
      <c r="C107" s="0" t="s">
        <v>20</v>
      </c>
      <c r="D107" s="0" t="str">
        <f aca="false">A107&amp;C107&amp;B107</f>
        <v>225PE100SDR13.6</v>
      </c>
      <c r="E107" s="0" t="n">
        <f aca="false">(A107-(2*(A107/(RIGHT(B107,LEN(B107)-3)))))/1000</f>
        <v>0.191911764705882</v>
      </c>
      <c r="F107" s="0" t="n">
        <v>12.5</v>
      </c>
    </row>
    <row r="108" customFormat="false" ht="12.8" hidden="false" customHeight="false" outlineLevel="0" collapsed="false">
      <c r="A108" s="0" t="n">
        <v>250</v>
      </c>
      <c r="B108" s="0" t="s">
        <v>101</v>
      </c>
      <c r="C108" s="0" t="s">
        <v>20</v>
      </c>
      <c r="D108" s="0" t="str">
        <f aca="false">A108&amp;C108&amp;B108</f>
        <v>250PE100SDR13.6</v>
      </c>
      <c r="E108" s="0" t="n">
        <f aca="false">(A108-(2*(A108/(RIGHT(B108,LEN(B108)-3)))))/1000</f>
        <v>0.213235294117647</v>
      </c>
      <c r="F108" s="0" t="n">
        <v>12.5</v>
      </c>
    </row>
    <row r="109" customFormat="false" ht="12.8" hidden="false" customHeight="false" outlineLevel="0" collapsed="false">
      <c r="A109" s="0" t="n">
        <v>280</v>
      </c>
      <c r="B109" s="0" t="s">
        <v>101</v>
      </c>
      <c r="C109" s="0" t="s">
        <v>20</v>
      </c>
      <c r="D109" s="0" t="str">
        <f aca="false">A109&amp;C109&amp;B109</f>
        <v>280PE100SDR13.6</v>
      </c>
      <c r="E109" s="0" t="n">
        <f aca="false">(A109-(2*(A109/(RIGHT(B109,LEN(B109)-3)))))/1000</f>
        <v>0.238823529411765</v>
      </c>
      <c r="F109" s="0" t="n">
        <v>12.5</v>
      </c>
    </row>
    <row r="110" customFormat="false" ht="12.8" hidden="false" customHeight="false" outlineLevel="0" collapsed="false">
      <c r="A110" s="0" t="n">
        <v>315</v>
      </c>
      <c r="B110" s="0" t="s">
        <v>101</v>
      </c>
      <c r="C110" s="0" t="s">
        <v>20</v>
      </c>
      <c r="D110" s="0" t="str">
        <f aca="false">A110&amp;C110&amp;B110</f>
        <v>315PE100SDR13.6</v>
      </c>
      <c r="E110" s="0" t="n">
        <f aca="false">(A110-(2*(A110/(RIGHT(B110,LEN(B110)-3)))))/1000</f>
        <v>0.268676470588235</v>
      </c>
      <c r="F110" s="0" t="n">
        <v>12.5</v>
      </c>
    </row>
    <row r="111" customFormat="false" ht="12.8" hidden="false" customHeight="false" outlineLevel="0" collapsed="false">
      <c r="A111" s="0" t="n">
        <v>355</v>
      </c>
      <c r="B111" s="0" t="s">
        <v>101</v>
      </c>
      <c r="C111" s="0" t="s">
        <v>20</v>
      </c>
      <c r="D111" s="0" t="str">
        <f aca="false">A111&amp;C111&amp;B111</f>
        <v>355PE100SDR13.6</v>
      </c>
      <c r="E111" s="0" t="n">
        <f aca="false">(A111-(2*(A111/(RIGHT(B111,LEN(B111)-3)))))/1000</f>
        <v>0.302794117647059</v>
      </c>
      <c r="F111" s="0" t="n">
        <v>12.5</v>
      </c>
    </row>
    <row r="112" customFormat="false" ht="12.8" hidden="false" customHeight="false" outlineLevel="0" collapsed="false">
      <c r="A112" s="0" t="n">
        <v>400</v>
      </c>
      <c r="B112" s="0" t="s">
        <v>101</v>
      </c>
      <c r="C112" s="0" t="s">
        <v>20</v>
      </c>
      <c r="D112" s="0" t="str">
        <f aca="false">A112&amp;C112&amp;B112</f>
        <v>400PE100SDR13.6</v>
      </c>
      <c r="E112" s="0" t="n">
        <f aca="false">(A112-(2*(A112/(RIGHT(B112,LEN(B112)-3)))))/1000</f>
        <v>0.341176470588235</v>
      </c>
      <c r="F112" s="0" t="n">
        <v>12.5</v>
      </c>
    </row>
    <row r="113" customFormat="false" ht="12.8" hidden="false" customHeight="false" outlineLevel="0" collapsed="false">
      <c r="A113" s="0" t="n">
        <v>450</v>
      </c>
      <c r="B113" s="0" t="s">
        <v>101</v>
      </c>
      <c r="C113" s="0" t="s">
        <v>20</v>
      </c>
      <c r="D113" s="0" t="str">
        <f aca="false">A113&amp;C113&amp;B113</f>
        <v>450PE100SDR13.6</v>
      </c>
      <c r="E113" s="0" t="n">
        <f aca="false">(A113-(2*(A113/(RIGHT(B113,LEN(B113)-3)))))/1000</f>
        <v>0.383823529411765</v>
      </c>
      <c r="F113" s="0" t="n">
        <v>12.5</v>
      </c>
    </row>
    <row r="114" customFormat="false" ht="12.8" hidden="false" customHeight="false" outlineLevel="0" collapsed="false">
      <c r="A114" s="0" t="n">
        <v>500</v>
      </c>
      <c r="B114" s="0" t="s">
        <v>101</v>
      </c>
      <c r="C114" s="0" t="s">
        <v>20</v>
      </c>
      <c r="D114" s="0" t="str">
        <f aca="false">A114&amp;C114&amp;B114</f>
        <v>500PE100SDR13.6</v>
      </c>
      <c r="E114" s="0" t="n">
        <f aca="false">(A114-(2*(A114/(RIGHT(B114,LEN(B114)-3)))))/1000</f>
        <v>0.426470588235294</v>
      </c>
      <c r="F114" s="0" t="n">
        <v>12.5</v>
      </c>
    </row>
    <row r="115" customFormat="false" ht="12.8" hidden="false" customHeight="false" outlineLevel="0" collapsed="false">
      <c r="A115" s="0" t="n">
        <v>560</v>
      </c>
      <c r="B115" s="0" t="s">
        <v>101</v>
      </c>
      <c r="C115" s="0" t="s">
        <v>20</v>
      </c>
      <c r="D115" s="0" t="str">
        <f aca="false">A115&amp;C115&amp;B115</f>
        <v>560PE100SDR13.6</v>
      </c>
      <c r="E115" s="0" t="n">
        <f aca="false">(A115-(2*(A115/(RIGHT(B115,LEN(B115)-3)))))/1000</f>
        <v>0.477647058823529</v>
      </c>
      <c r="F115" s="0" t="n">
        <v>12.5</v>
      </c>
    </row>
    <row r="116" customFormat="false" ht="12.8" hidden="false" customHeight="false" outlineLevel="0" collapsed="false">
      <c r="A116" s="0" t="n">
        <v>630</v>
      </c>
      <c r="B116" s="0" t="s">
        <v>101</v>
      </c>
      <c r="C116" s="0" t="s">
        <v>20</v>
      </c>
      <c r="D116" s="0" t="str">
        <f aca="false">A116&amp;C116&amp;B116</f>
        <v>630PE100SDR13.6</v>
      </c>
      <c r="E116" s="0" t="n">
        <f aca="false">(A116-(2*(A116/(RIGHT(B116,LEN(B116)-3)))))/1000</f>
        <v>0.537352941176471</v>
      </c>
      <c r="F116" s="0" t="n">
        <v>12.5</v>
      </c>
    </row>
    <row r="117" customFormat="false" ht="12.8" hidden="false" customHeight="false" outlineLevel="0" collapsed="false">
      <c r="A117" s="0" t="n">
        <v>710</v>
      </c>
      <c r="B117" s="0" t="s">
        <v>101</v>
      </c>
      <c r="C117" s="0" t="s">
        <v>20</v>
      </c>
      <c r="D117" s="0" t="str">
        <f aca="false">A117&amp;C117&amp;B117</f>
        <v>710PE100SDR13.6</v>
      </c>
      <c r="E117" s="0" t="n">
        <f aca="false">(A117-(2*(A117/(RIGHT(B117,LEN(B117)-3)))))/1000</f>
        <v>0.605588235294118</v>
      </c>
      <c r="F117" s="0" t="n">
        <v>12.5</v>
      </c>
    </row>
    <row r="118" customFormat="false" ht="12.8" hidden="false" customHeight="false" outlineLevel="0" collapsed="false">
      <c r="A118" s="0" t="n">
        <v>800</v>
      </c>
      <c r="B118" s="0" t="s">
        <v>101</v>
      </c>
      <c r="C118" s="0" t="s">
        <v>20</v>
      </c>
      <c r="D118" s="0" t="str">
        <f aca="false">A118&amp;C118&amp;B118</f>
        <v>800PE100SDR13.6</v>
      </c>
      <c r="E118" s="0" t="n">
        <f aca="false">(A118-(2*(A118/(RIGHT(B118,LEN(B118)-3)))))/1000</f>
        <v>0.682352941176471</v>
      </c>
      <c r="F118" s="0" t="n">
        <v>12.5</v>
      </c>
    </row>
    <row r="119" customFormat="false" ht="12.8" hidden="false" customHeight="false" outlineLevel="0" collapsed="false">
      <c r="A119" s="0" t="n">
        <v>900</v>
      </c>
      <c r="B119" s="0" t="s">
        <v>101</v>
      </c>
      <c r="C119" s="0" t="s">
        <v>20</v>
      </c>
      <c r="D119" s="0" t="str">
        <f aca="false">A119&amp;C119&amp;B119</f>
        <v>900PE100SDR13.6</v>
      </c>
      <c r="E119" s="0" t="n">
        <f aca="false">(A119-(2*(A119/(RIGHT(B119,LEN(B119)-3)))))/1000</f>
        <v>0.767647058823529</v>
      </c>
      <c r="F119" s="0" t="n">
        <v>12.5</v>
      </c>
    </row>
    <row r="120" customFormat="false" ht="12.8" hidden="false" customHeight="false" outlineLevel="0" collapsed="false">
      <c r="A120" s="0" t="n">
        <v>1000</v>
      </c>
      <c r="B120" s="0" t="s">
        <v>101</v>
      </c>
      <c r="C120" s="0" t="s">
        <v>20</v>
      </c>
      <c r="D120" s="0" t="str">
        <f aca="false">A120&amp;C120&amp;B120</f>
        <v>1000PE100SDR13.6</v>
      </c>
      <c r="E120" s="0" t="n">
        <f aca="false">(A120-(2*(A120/(RIGHT(B120,LEN(B120)-3)))))/1000</f>
        <v>0.852941176470588</v>
      </c>
      <c r="F120" s="0" t="n">
        <v>12.5</v>
      </c>
    </row>
    <row r="121" customFormat="false" ht="12.8" hidden="false" customHeight="false" outlineLevel="0" collapsed="false">
      <c r="A121" s="0" t="n">
        <v>1200</v>
      </c>
      <c r="B121" s="0" t="s">
        <v>101</v>
      </c>
      <c r="C121" s="0" t="s">
        <v>20</v>
      </c>
      <c r="D121" s="0" t="str">
        <f aca="false">A121&amp;C121&amp;B121</f>
        <v>1200PE100SDR13.6</v>
      </c>
      <c r="E121" s="0" t="n">
        <f aca="false">(A121-(2*(A121/(RIGHT(B121,LEN(B121)-3)))))/1000</f>
        <v>1.02352941176471</v>
      </c>
      <c r="F121" s="0" t="n">
        <v>12.5</v>
      </c>
    </row>
    <row r="122" customFormat="false" ht="12.8" hidden="false" customHeight="false" outlineLevel="0" collapsed="false">
      <c r="A122" s="0" t="n">
        <v>16</v>
      </c>
      <c r="B122" s="0" t="s">
        <v>102</v>
      </c>
      <c r="C122" s="0" t="s">
        <v>20</v>
      </c>
      <c r="D122" s="0" t="str">
        <f aca="false">A122&amp;C122&amp;B122</f>
        <v>16PE100SDR17</v>
      </c>
      <c r="E122" s="0" t="n">
        <f aca="false">(A122-(2*(A122/(RIGHT(B122,LEN(B122)-3)))))/1000</f>
        <v>0.0141176470588235</v>
      </c>
      <c r="F122" s="0" t="n">
        <v>10</v>
      </c>
    </row>
    <row r="123" customFormat="false" ht="12.8" hidden="false" customHeight="false" outlineLevel="0" collapsed="false">
      <c r="A123" s="0" t="n">
        <v>20</v>
      </c>
      <c r="B123" s="0" t="s">
        <v>102</v>
      </c>
      <c r="C123" s="0" t="s">
        <v>20</v>
      </c>
      <c r="D123" s="0" t="str">
        <f aca="false">A123&amp;C123&amp;B123</f>
        <v>20PE100SDR17</v>
      </c>
      <c r="E123" s="0" t="n">
        <f aca="false">(A123-(2*(A123/(RIGHT(B123,LEN(B123)-3)))))/1000</f>
        <v>0.0176470588235294</v>
      </c>
      <c r="F123" s="0" t="n">
        <v>10</v>
      </c>
    </row>
    <row r="124" customFormat="false" ht="12.8" hidden="false" customHeight="false" outlineLevel="0" collapsed="false">
      <c r="A124" s="0" t="n">
        <v>25</v>
      </c>
      <c r="B124" s="0" t="s">
        <v>102</v>
      </c>
      <c r="C124" s="0" t="s">
        <v>20</v>
      </c>
      <c r="D124" s="0" t="str">
        <f aca="false">A124&amp;C124&amp;B124</f>
        <v>25PE100SDR17</v>
      </c>
      <c r="E124" s="0" t="n">
        <f aca="false">(A124-(2*(A124/(RIGHT(B124,LEN(B124)-3)))))/1000</f>
        <v>0.0220588235294118</v>
      </c>
      <c r="F124" s="0" t="n">
        <v>10</v>
      </c>
    </row>
    <row r="125" customFormat="false" ht="12.8" hidden="false" customHeight="false" outlineLevel="0" collapsed="false">
      <c r="A125" s="0" t="n">
        <v>32</v>
      </c>
      <c r="B125" s="0" t="s">
        <v>102</v>
      </c>
      <c r="C125" s="0" t="s">
        <v>20</v>
      </c>
      <c r="D125" s="0" t="str">
        <f aca="false">A125&amp;C125&amp;B125</f>
        <v>32PE100SDR17</v>
      </c>
      <c r="E125" s="0" t="n">
        <f aca="false">(A125-(2*(A125/(RIGHT(B125,LEN(B125)-3)))))/1000</f>
        <v>0.0282352941176471</v>
      </c>
      <c r="F125" s="0" t="n">
        <v>10</v>
      </c>
    </row>
    <row r="126" customFormat="false" ht="12.8" hidden="false" customHeight="false" outlineLevel="0" collapsed="false">
      <c r="A126" s="0" t="n">
        <v>40</v>
      </c>
      <c r="B126" s="0" t="s">
        <v>102</v>
      </c>
      <c r="C126" s="0" t="s">
        <v>20</v>
      </c>
      <c r="D126" s="0" t="str">
        <f aca="false">A126&amp;C126&amp;B126</f>
        <v>40PE100SDR17</v>
      </c>
      <c r="E126" s="0" t="n">
        <f aca="false">(A126-(2*(A126/(RIGHT(B126,LEN(B126)-3)))))/1000</f>
        <v>0.0352941176470588</v>
      </c>
      <c r="F126" s="0" t="n">
        <v>10</v>
      </c>
    </row>
    <row r="127" customFormat="false" ht="12.8" hidden="false" customHeight="false" outlineLevel="0" collapsed="false">
      <c r="A127" s="0" t="n">
        <v>50</v>
      </c>
      <c r="B127" s="0" t="s">
        <v>102</v>
      </c>
      <c r="C127" s="0" t="s">
        <v>20</v>
      </c>
      <c r="D127" s="0" t="str">
        <f aca="false">A127&amp;C127&amp;B127</f>
        <v>50PE100SDR17</v>
      </c>
      <c r="E127" s="0" t="n">
        <f aca="false">(A127-(2*(A127/(RIGHT(B127,LEN(B127)-3)))))/1000</f>
        <v>0.0441176470588235</v>
      </c>
      <c r="F127" s="0" t="n">
        <v>10</v>
      </c>
    </row>
    <row r="128" customFormat="false" ht="12.8" hidden="false" customHeight="false" outlineLevel="0" collapsed="false">
      <c r="A128" s="0" t="n">
        <v>63</v>
      </c>
      <c r="B128" s="0" t="s">
        <v>102</v>
      </c>
      <c r="C128" s="0" t="s">
        <v>20</v>
      </c>
      <c r="D128" s="0" t="str">
        <f aca="false">A128&amp;C128&amp;B128</f>
        <v>63PE100SDR17</v>
      </c>
      <c r="E128" s="0" t="n">
        <f aca="false">(A128-(2*(A128/(RIGHT(B128,LEN(B128)-3)))))/1000</f>
        <v>0.0555882352941177</v>
      </c>
      <c r="F128" s="0" t="n">
        <v>10</v>
      </c>
    </row>
    <row r="129" customFormat="false" ht="12.8" hidden="false" customHeight="false" outlineLevel="0" collapsed="false">
      <c r="A129" s="0" t="n">
        <v>75</v>
      </c>
      <c r="B129" s="0" t="s">
        <v>102</v>
      </c>
      <c r="C129" s="0" t="s">
        <v>20</v>
      </c>
      <c r="D129" s="0" t="str">
        <f aca="false">A129&amp;C129&amp;B129</f>
        <v>75PE100SDR17</v>
      </c>
      <c r="E129" s="0" t="n">
        <f aca="false">(A129-(2*(A129/(RIGHT(B129,LEN(B129)-3)))))/1000</f>
        <v>0.0661764705882353</v>
      </c>
      <c r="F129" s="0" t="n">
        <v>10</v>
      </c>
    </row>
    <row r="130" customFormat="false" ht="12.8" hidden="false" customHeight="false" outlineLevel="0" collapsed="false">
      <c r="A130" s="0" t="n">
        <v>90</v>
      </c>
      <c r="B130" s="0" t="s">
        <v>102</v>
      </c>
      <c r="C130" s="0" t="s">
        <v>20</v>
      </c>
      <c r="D130" s="0" t="str">
        <f aca="false">A130&amp;C130&amp;B130</f>
        <v>90PE100SDR17</v>
      </c>
      <c r="E130" s="0" t="n">
        <f aca="false">(A130-(2*(A130/(RIGHT(B130,LEN(B130)-3)))))/1000</f>
        <v>0.0794117647058824</v>
      </c>
      <c r="F130" s="0" t="n">
        <v>10</v>
      </c>
    </row>
    <row r="131" customFormat="false" ht="12.8" hidden="false" customHeight="false" outlineLevel="0" collapsed="false">
      <c r="A131" s="0" t="n">
        <v>110</v>
      </c>
      <c r="B131" s="0" t="s">
        <v>102</v>
      </c>
      <c r="C131" s="0" t="s">
        <v>20</v>
      </c>
      <c r="D131" s="0" t="str">
        <f aca="false">A131&amp;C131&amp;B131</f>
        <v>110PE100SDR17</v>
      </c>
      <c r="E131" s="0" t="n">
        <f aca="false">(A131-(2*(A131/(RIGHT(B131,LEN(B131)-3)))))/1000</f>
        <v>0.0970588235294118</v>
      </c>
      <c r="F131" s="0" t="n">
        <v>10</v>
      </c>
    </row>
    <row r="132" customFormat="false" ht="12.8" hidden="false" customHeight="false" outlineLevel="0" collapsed="false">
      <c r="A132" s="0" t="n">
        <v>125</v>
      </c>
      <c r="B132" s="0" t="s">
        <v>102</v>
      </c>
      <c r="C132" s="0" t="s">
        <v>20</v>
      </c>
      <c r="D132" s="0" t="str">
        <f aca="false">A132&amp;C132&amp;B132</f>
        <v>125PE100SDR17</v>
      </c>
      <c r="E132" s="0" t="n">
        <f aca="false">(A132-(2*(A132/(RIGHT(B132,LEN(B132)-3)))))/1000</f>
        <v>0.110294117647059</v>
      </c>
      <c r="F132" s="0" t="n">
        <v>10</v>
      </c>
    </row>
    <row r="133" customFormat="false" ht="12.8" hidden="false" customHeight="false" outlineLevel="0" collapsed="false">
      <c r="A133" s="0" t="n">
        <v>140</v>
      </c>
      <c r="B133" s="0" t="s">
        <v>102</v>
      </c>
      <c r="C133" s="0" t="s">
        <v>20</v>
      </c>
      <c r="D133" s="0" t="str">
        <f aca="false">A133&amp;C133&amp;B133</f>
        <v>140PE100SDR17</v>
      </c>
      <c r="E133" s="0" t="n">
        <f aca="false">(A133-(2*(A133/(RIGHT(B133,LEN(B133)-3)))))/1000</f>
        <v>0.123529411764706</v>
      </c>
      <c r="F133" s="0" t="n">
        <v>10</v>
      </c>
    </row>
    <row r="134" customFormat="false" ht="12.8" hidden="false" customHeight="false" outlineLevel="0" collapsed="false">
      <c r="A134" s="0" t="n">
        <v>160</v>
      </c>
      <c r="B134" s="0" t="s">
        <v>102</v>
      </c>
      <c r="C134" s="0" t="s">
        <v>20</v>
      </c>
      <c r="D134" s="0" t="str">
        <f aca="false">A134&amp;C134&amp;B134</f>
        <v>160PE100SDR17</v>
      </c>
      <c r="E134" s="0" t="n">
        <f aca="false">(A134-(2*(A134/(RIGHT(B134,LEN(B134)-3)))))/1000</f>
        <v>0.141176470588235</v>
      </c>
      <c r="F134" s="0" t="n">
        <v>10</v>
      </c>
    </row>
    <row r="135" customFormat="false" ht="12.8" hidden="false" customHeight="false" outlineLevel="0" collapsed="false">
      <c r="A135" s="0" t="n">
        <v>180</v>
      </c>
      <c r="B135" s="0" t="s">
        <v>102</v>
      </c>
      <c r="C135" s="0" t="s">
        <v>20</v>
      </c>
      <c r="D135" s="0" t="str">
        <f aca="false">A135&amp;C135&amp;B135</f>
        <v>180PE100SDR17</v>
      </c>
      <c r="E135" s="0" t="n">
        <f aca="false">(A135-(2*(A135/(RIGHT(B135,LEN(B135)-3)))))/1000</f>
        <v>0.158823529411765</v>
      </c>
      <c r="F135" s="0" t="n">
        <v>10</v>
      </c>
    </row>
    <row r="136" customFormat="false" ht="12.8" hidden="false" customHeight="false" outlineLevel="0" collapsed="false">
      <c r="A136" s="0" t="n">
        <v>200</v>
      </c>
      <c r="B136" s="0" t="s">
        <v>102</v>
      </c>
      <c r="C136" s="0" t="s">
        <v>20</v>
      </c>
      <c r="D136" s="0" t="str">
        <f aca="false">A136&amp;C136&amp;B136</f>
        <v>200PE100SDR17</v>
      </c>
      <c r="E136" s="0" t="n">
        <f aca="false">(A136-(2*(A136/(RIGHT(B136,LEN(B136)-3)))))/1000</f>
        <v>0.176470588235294</v>
      </c>
      <c r="F136" s="0" t="n">
        <v>10</v>
      </c>
    </row>
    <row r="137" customFormat="false" ht="12.8" hidden="false" customHeight="false" outlineLevel="0" collapsed="false">
      <c r="A137" s="0" t="n">
        <v>225</v>
      </c>
      <c r="B137" s="0" t="s">
        <v>102</v>
      </c>
      <c r="C137" s="0" t="s">
        <v>20</v>
      </c>
      <c r="D137" s="0" t="str">
        <f aca="false">A137&amp;C137&amp;B137</f>
        <v>225PE100SDR17</v>
      </c>
      <c r="E137" s="0" t="n">
        <f aca="false">(A137-(2*(A137/(RIGHT(B137,LEN(B137)-3)))))/1000</f>
        <v>0.198529411764706</v>
      </c>
      <c r="F137" s="0" t="n">
        <v>10</v>
      </c>
    </row>
    <row r="138" customFormat="false" ht="12.8" hidden="false" customHeight="false" outlineLevel="0" collapsed="false">
      <c r="A138" s="0" t="n">
        <v>250</v>
      </c>
      <c r="B138" s="0" t="s">
        <v>102</v>
      </c>
      <c r="C138" s="0" t="s">
        <v>20</v>
      </c>
      <c r="D138" s="0" t="str">
        <f aca="false">A138&amp;C138&amp;B138</f>
        <v>250PE100SDR17</v>
      </c>
      <c r="E138" s="0" t="n">
        <f aca="false">(A138-(2*(A138/(RIGHT(B138,LEN(B138)-3)))))/1000</f>
        <v>0.220588235294118</v>
      </c>
      <c r="F138" s="0" t="n">
        <v>10</v>
      </c>
    </row>
    <row r="139" customFormat="false" ht="12.8" hidden="false" customHeight="false" outlineLevel="0" collapsed="false">
      <c r="A139" s="0" t="n">
        <v>280</v>
      </c>
      <c r="B139" s="0" t="s">
        <v>102</v>
      </c>
      <c r="C139" s="0" t="s">
        <v>20</v>
      </c>
      <c r="D139" s="0" t="str">
        <f aca="false">A139&amp;C139&amp;B139</f>
        <v>280PE100SDR17</v>
      </c>
      <c r="E139" s="0" t="n">
        <f aca="false">(A139-(2*(A139/(RIGHT(B139,LEN(B139)-3)))))/1000</f>
        <v>0.247058823529412</v>
      </c>
      <c r="F139" s="0" t="n">
        <v>10</v>
      </c>
    </row>
    <row r="140" customFormat="false" ht="12.8" hidden="false" customHeight="false" outlineLevel="0" collapsed="false">
      <c r="A140" s="0" t="n">
        <v>315</v>
      </c>
      <c r="B140" s="0" t="s">
        <v>102</v>
      </c>
      <c r="C140" s="0" t="s">
        <v>20</v>
      </c>
      <c r="D140" s="0" t="str">
        <f aca="false">A140&amp;C140&amp;B140</f>
        <v>315PE100SDR17</v>
      </c>
      <c r="E140" s="0" t="n">
        <f aca="false">(A140-(2*(A140/(RIGHT(B140,LEN(B140)-3)))))/1000</f>
        <v>0.277941176470588</v>
      </c>
      <c r="F140" s="0" t="n">
        <v>10</v>
      </c>
    </row>
    <row r="141" customFormat="false" ht="12.8" hidden="false" customHeight="false" outlineLevel="0" collapsed="false">
      <c r="A141" s="0" t="n">
        <v>355</v>
      </c>
      <c r="B141" s="0" t="s">
        <v>102</v>
      </c>
      <c r="C141" s="0" t="s">
        <v>20</v>
      </c>
      <c r="D141" s="0" t="str">
        <f aca="false">A141&amp;C141&amp;B141</f>
        <v>355PE100SDR17</v>
      </c>
      <c r="E141" s="0" t="n">
        <f aca="false">(A141-(2*(A141/(RIGHT(B141,LEN(B141)-3)))))/1000</f>
        <v>0.313235294117647</v>
      </c>
      <c r="F141" s="0" t="n">
        <v>10</v>
      </c>
    </row>
    <row r="142" customFormat="false" ht="12.8" hidden="false" customHeight="false" outlineLevel="0" collapsed="false">
      <c r="A142" s="0" t="n">
        <v>400</v>
      </c>
      <c r="B142" s="0" t="s">
        <v>102</v>
      </c>
      <c r="C142" s="0" t="s">
        <v>20</v>
      </c>
      <c r="D142" s="0" t="str">
        <f aca="false">A142&amp;C142&amp;B142</f>
        <v>400PE100SDR17</v>
      </c>
      <c r="E142" s="0" t="n">
        <f aca="false">(A142-(2*(A142/(RIGHT(B142,LEN(B142)-3)))))/1000</f>
        <v>0.352941176470588</v>
      </c>
      <c r="F142" s="0" t="n">
        <v>10</v>
      </c>
    </row>
    <row r="143" customFormat="false" ht="12.8" hidden="false" customHeight="false" outlineLevel="0" collapsed="false">
      <c r="A143" s="0" t="n">
        <v>450</v>
      </c>
      <c r="B143" s="0" t="s">
        <v>102</v>
      </c>
      <c r="C143" s="0" t="s">
        <v>20</v>
      </c>
      <c r="D143" s="0" t="str">
        <f aca="false">A143&amp;C143&amp;B143</f>
        <v>450PE100SDR17</v>
      </c>
      <c r="E143" s="0" t="n">
        <f aca="false">(A143-(2*(A143/(RIGHT(B143,LEN(B143)-3)))))/1000</f>
        <v>0.397058823529412</v>
      </c>
      <c r="F143" s="0" t="n">
        <v>10</v>
      </c>
    </row>
    <row r="144" customFormat="false" ht="12.8" hidden="false" customHeight="false" outlineLevel="0" collapsed="false">
      <c r="A144" s="0" t="n">
        <v>500</v>
      </c>
      <c r="B144" s="0" t="s">
        <v>102</v>
      </c>
      <c r="C144" s="0" t="s">
        <v>20</v>
      </c>
      <c r="D144" s="0" t="str">
        <f aca="false">A144&amp;C144&amp;B144</f>
        <v>500PE100SDR17</v>
      </c>
      <c r="E144" s="0" t="n">
        <f aca="false">(A144-(2*(A144/(RIGHT(B144,LEN(B144)-3)))))/1000</f>
        <v>0.441176470588235</v>
      </c>
      <c r="F144" s="0" t="n">
        <v>10</v>
      </c>
    </row>
    <row r="145" customFormat="false" ht="12.8" hidden="false" customHeight="false" outlineLevel="0" collapsed="false">
      <c r="A145" s="0" t="n">
        <v>560</v>
      </c>
      <c r="B145" s="0" t="s">
        <v>102</v>
      </c>
      <c r="C145" s="0" t="s">
        <v>20</v>
      </c>
      <c r="D145" s="0" t="str">
        <f aca="false">A145&amp;C145&amp;B145</f>
        <v>560PE100SDR17</v>
      </c>
      <c r="E145" s="0" t="n">
        <f aca="false">(A145-(2*(A145/(RIGHT(B145,LEN(B145)-3)))))/1000</f>
        <v>0.494117647058824</v>
      </c>
      <c r="F145" s="0" t="n">
        <v>10</v>
      </c>
    </row>
    <row r="146" customFormat="false" ht="12.8" hidden="false" customHeight="false" outlineLevel="0" collapsed="false">
      <c r="A146" s="0" t="n">
        <v>630</v>
      </c>
      <c r="B146" s="0" t="s">
        <v>102</v>
      </c>
      <c r="C146" s="0" t="s">
        <v>20</v>
      </c>
      <c r="D146" s="0" t="str">
        <f aca="false">A146&amp;C146&amp;B146</f>
        <v>630PE100SDR17</v>
      </c>
      <c r="E146" s="0" t="n">
        <f aca="false">(A146-(2*(A146/(RIGHT(B146,LEN(B146)-3)))))/1000</f>
        <v>0.555882352941177</v>
      </c>
      <c r="F146" s="0" t="n">
        <v>10</v>
      </c>
    </row>
    <row r="147" customFormat="false" ht="12.8" hidden="false" customHeight="false" outlineLevel="0" collapsed="false">
      <c r="A147" s="0" t="n">
        <v>710</v>
      </c>
      <c r="B147" s="0" t="s">
        <v>102</v>
      </c>
      <c r="C147" s="0" t="s">
        <v>20</v>
      </c>
      <c r="D147" s="0" t="str">
        <f aca="false">A147&amp;C147&amp;B147</f>
        <v>710PE100SDR17</v>
      </c>
      <c r="E147" s="0" t="n">
        <f aca="false">(A147-(2*(A147/(RIGHT(B147,LEN(B147)-3)))))/1000</f>
        <v>0.626470588235294</v>
      </c>
      <c r="F147" s="0" t="n">
        <v>10</v>
      </c>
    </row>
    <row r="148" customFormat="false" ht="12.8" hidden="false" customHeight="false" outlineLevel="0" collapsed="false">
      <c r="A148" s="0" t="n">
        <v>800</v>
      </c>
      <c r="B148" s="0" t="s">
        <v>102</v>
      </c>
      <c r="C148" s="0" t="s">
        <v>20</v>
      </c>
      <c r="D148" s="0" t="str">
        <f aca="false">A148&amp;C148&amp;B148</f>
        <v>800PE100SDR17</v>
      </c>
      <c r="E148" s="0" t="n">
        <f aca="false">(A148-(2*(A148/(RIGHT(B148,LEN(B148)-3)))))/1000</f>
        <v>0.705882352941177</v>
      </c>
      <c r="F148" s="0" t="n">
        <v>10</v>
      </c>
    </row>
    <row r="149" customFormat="false" ht="12.8" hidden="false" customHeight="false" outlineLevel="0" collapsed="false">
      <c r="A149" s="0" t="n">
        <v>900</v>
      </c>
      <c r="B149" s="0" t="s">
        <v>102</v>
      </c>
      <c r="C149" s="0" t="s">
        <v>20</v>
      </c>
      <c r="D149" s="0" t="str">
        <f aca="false">A149&amp;C149&amp;B149</f>
        <v>900PE100SDR17</v>
      </c>
      <c r="E149" s="0" t="n">
        <f aca="false">(A149-(2*(A149/(RIGHT(B149,LEN(B149)-3)))))/1000</f>
        <v>0.794117647058824</v>
      </c>
      <c r="F149" s="0" t="n">
        <v>10</v>
      </c>
    </row>
    <row r="150" customFormat="false" ht="12.8" hidden="false" customHeight="false" outlineLevel="0" collapsed="false">
      <c r="A150" s="0" t="n">
        <v>1000</v>
      </c>
      <c r="B150" s="0" t="s">
        <v>102</v>
      </c>
      <c r="C150" s="0" t="s">
        <v>20</v>
      </c>
      <c r="D150" s="0" t="str">
        <f aca="false">A150&amp;C150&amp;B150</f>
        <v>1000PE100SDR17</v>
      </c>
      <c r="E150" s="0" t="n">
        <f aca="false">(A150-(2*(A150/(RIGHT(B150,LEN(B150)-3)))))/1000</f>
        <v>0.882352941176471</v>
      </c>
      <c r="F150" s="0" t="n">
        <v>10</v>
      </c>
    </row>
    <row r="151" customFormat="false" ht="12.8" hidden="false" customHeight="false" outlineLevel="0" collapsed="false">
      <c r="A151" s="0" t="n">
        <v>1200</v>
      </c>
      <c r="B151" s="0" t="s">
        <v>102</v>
      </c>
      <c r="C151" s="0" t="s">
        <v>20</v>
      </c>
      <c r="D151" s="0" t="str">
        <f aca="false">A151&amp;C151&amp;B151</f>
        <v>1200PE100SDR17</v>
      </c>
      <c r="E151" s="0" t="n">
        <f aca="false">(A151-(2*(A151/(RIGHT(B151,LEN(B151)-3)))))/1000</f>
        <v>1.05882352941176</v>
      </c>
      <c r="F151" s="0" t="n">
        <v>10</v>
      </c>
    </row>
    <row r="152" customFormat="false" ht="12.8" hidden="false" customHeight="false" outlineLevel="0" collapsed="false">
      <c r="A152" s="0" t="n">
        <v>16</v>
      </c>
      <c r="B152" s="0" t="s">
        <v>103</v>
      </c>
      <c r="C152" s="0" t="s">
        <v>20</v>
      </c>
      <c r="D152" s="0" t="str">
        <f aca="false">A152&amp;C152&amp;B152</f>
        <v>16PE100SDR21</v>
      </c>
      <c r="E152" s="0" t="n">
        <f aca="false">(A152-(2*(A152/(RIGHT(B152,LEN(B152)-3)))))/1000</f>
        <v>0.0144761904761905</v>
      </c>
      <c r="F152" s="0" t="n">
        <v>8</v>
      </c>
    </row>
    <row r="153" customFormat="false" ht="12.8" hidden="false" customHeight="false" outlineLevel="0" collapsed="false">
      <c r="A153" s="0" t="n">
        <v>20</v>
      </c>
      <c r="B153" s="0" t="s">
        <v>103</v>
      </c>
      <c r="C153" s="0" t="s">
        <v>20</v>
      </c>
      <c r="D153" s="0" t="str">
        <f aca="false">A153&amp;C153&amp;B153</f>
        <v>20PE100SDR21</v>
      </c>
      <c r="E153" s="0" t="n">
        <f aca="false">(A153-(2*(A153/(RIGHT(B153,LEN(B153)-3)))))/1000</f>
        <v>0.0180952380952381</v>
      </c>
      <c r="F153" s="0" t="n">
        <v>8</v>
      </c>
    </row>
    <row r="154" customFormat="false" ht="12.8" hidden="false" customHeight="false" outlineLevel="0" collapsed="false">
      <c r="A154" s="0" t="n">
        <v>25</v>
      </c>
      <c r="B154" s="0" t="s">
        <v>103</v>
      </c>
      <c r="C154" s="0" t="s">
        <v>20</v>
      </c>
      <c r="D154" s="0" t="str">
        <f aca="false">A154&amp;C154&amp;B154</f>
        <v>25PE100SDR21</v>
      </c>
      <c r="E154" s="0" t="n">
        <f aca="false">(A154-(2*(A154/(RIGHT(B154,LEN(B154)-3)))))/1000</f>
        <v>0.0226190476190476</v>
      </c>
      <c r="F154" s="0" t="n">
        <v>8</v>
      </c>
    </row>
    <row r="155" customFormat="false" ht="12.8" hidden="false" customHeight="false" outlineLevel="0" collapsed="false">
      <c r="A155" s="0" t="n">
        <v>32</v>
      </c>
      <c r="B155" s="0" t="s">
        <v>103</v>
      </c>
      <c r="C155" s="0" t="s">
        <v>20</v>
      </c>
      <c r="D155" s="0" t="str">
        <f aca="false">A155&amp;C155&amp;B155</f>
        <v>32PE100SDR21</v>
      </c>
      <c r="E155" s="0" t="n">
        <f aca="false">(A155-(2*(A155/(RIGHT(B155,LEN(B155)-3)))))/1000</f>
        <v>0.028952380952381</v>
      </c>
      <c r="F155" s="0" t="n">
        <v>8</v>
      </c>
    </row>
    <row r="156" customFormat="false" ht="12.8" hidden="false" customHeight="false" outlineLevel="0" collapsed="false">
      <c r="A156" s="0" t="n">
        <v>40</v>
      </c>
      <c r="B156" s="0" t="s">
        <v>103</v>
      </c>
      <c r="C156" s="0" t="s">
        <v>20</v>
      </c>
      <c r="D156" s="0" t="str">
        <f aca="false">A156&amp;C156&amp;B156</f>
        <v>40PE100SDR21</v>
      </c>
      <c r="E156" s="0" t="n">
        <f aca="false">(A156-(2*(A156/(RIGHT(B156,LEN(B156)-3)))))/1000</f>
        <v>0.0361904761904762</v>
      </c>
      <c r="F156" s="0" t="n">
        <v>8</v>
      </c>
    </row>
    <row r="157" customFormat="false" ht="12.8" hidden="false" customHeight="false" outlineLevel="0" collapsed="false">
      <c r="A157" s="0" t="n">
        <v>50</v>
      </c>
      <c r="B157" s="0" t="s">
        <v>103</v>
      </c>
      <c r="C157" s="0" t="s">
        <v>20</v>
      </c>
      <c r="D157" s="0" t="str">
        <f aca="false">A157&amp;C157&amp;B157</f>
        <v>50PE100SDR21</v>
      </c>
      <c r="E157" s="0" t="n">
        <f aca="false">(A157-(2*(A157/(RIGHT(B157,LEN(B157)-3)))))/1000</f>
        <v>0.0452380952380952</v>
      </c>
      <c r="F157" s="0" t="n">
        <v>8</v>
      </c>
    </row>
    <row r="158" customFormat="false" ht="12.8" hidden="false" customHeight="false" outlineLevel="0" collapsed="false">
      <c r="A158" s="0" t="n">
        <v>63</v>
      </c>
      <c r="B158" s="0" t="s">
        <v>103</v>
      </c>
      <c r="C158" s="0" t="s">
        <v>20</v>
      </c>
      <c r="D158" s="0" t="str">
        <f aca="false">A158&amp;C158&amp;B158</f>
        <v>63PE100SDR21</v>
      </c>
      <c r="E158" s="0" t="n">
        <f aca="false">(A158-(2*(A158/(RIGHT(B158,LEN(B158)-3)))))/1000</f>
        <v>0.057</v>
      </c>
      <c r="F158" s="0" t="n">
        <v>8</v>
      </c>
    </row>
    <row r="159" customFormat="false" ht="12.8" hidden="false" customHeight="false" outlineLevel="0" collapsed="false">
      <c r="A159" s="0" t="n">
        <v>75</v>
      </c>
      <c r="B159" s="0" t="s">
        <v>103</v>
      </c>
      <c r="C159" s="0" t="s">
        <v>20</v>
      </c>
      <c r="D159" s="0" t="str">
        <f aca="false">A159&amp;C159&amp;B159</f>
        <v>75PE100SDR21</v>
      </c>
      <c r="E159" s="0" t="n">
        <f aca="false">(A159-(2*(A159/(RIGHT(B159,LEN(B159)-3)))))/1000</f>
        <v>0.0678571428571429</v>
      </c>
      <c r="F159" s="0" t="n">
        <v>8</v>
      </c>
    </row>
    <row r="160" customFormat="false" ht="12.8" hidden="false" customHeight="false" outlineLevel="0" collapsed="false">
      <c r="A160" s="0" t="n">
        <v>90</v>
      </c>
      <c r="B160" s="0" t="s">
        <v>103</v>
      </c>
      <c r="C160" s="0" t="s">
        <v>20</v>
      </c>
      <c r="D160" s="0" t="str">
        <f aca="false">A160&amp;C160&amp;B160</f>
        <v>90PE100SDR21</v>
      </c>
      <c r="E160" s="0" t="n">
        <f aca="false">(A160-(2*(A160/(RIGHT(B160,LEN(B160)-3)))))/1000</f>
        <v>0.0814285714285714</v>
      </c>
      <c r="F160" s="0" t="n">
        <v>8</v>
      </c>
    </row>
    <row r="161" customFormat="false" ht="12.8" hidden="false" customHeight="false" outlineLevel="0" collapsed="false">
      <c r="A161" s="0" t="n">
        <v>110</v>
      </c>
      <c r="B161" s="0" t="s">
        <v>103</v>
      </c>
      <c r="C161" s="0" t="s">
        <v>20</v>
      </c>
      <c r="D161" s="0" t="str">
        <f aca="false">A161&amp;C161&amp;B161</f>
        <v>110PE100SDR21</v>
      </c>
      <c r="E161" s="0" t="n">
        <f aca="false">(A161-(2*(A161/(RIGHT(B161,LEN(B161)-3)))))/1000</f>
        <v>0.0995238095238095</v>
      </c>
      <c r="F161" s="0" t="n">
        <v>8</v>
      </c>
    </row>
    <row r="162" customFormat="false" ht="12.8" hidden="false" customHeight="false" outlineLevel="0" collapsed="false">
      <c r="A162" s="0" t="n">
        <v>125</v>
      </c>
      <c r="B162" s="0" t="s">
        <v>103</v>
      </c>
      <c r="C162" s="0" t="s">
        <v>20</v>
      </c>
      <c r="D162" s="0" t="str">
        <f aca="false">A162&amp;C162&amp;B162</f>
        <v>125PE100SDR21</v>
      </c>
      <c r="E162" s="0" t="n">
        <f aca="false">(A162-(2*(A162/(RIGHT(B162,LEN(B162)-3)))))/1000</f>
        <v>0.113095238095238</v>
      </c>
      <c r="F162" s="0" t="n">
        <v>8</v>
      </c>
    </row>
    <row r="163" customFormat="false" ht="12.8" hidden="false" customHeight="false" outlineLevel="0" collapsed="false">
      <c r="A163" s="0" t="n">
        <v>140</v>
      </c>
      <c r="B163" s="0" t="s">
        <v>103</v>
      </c>
      <c r="C163" s="0" t="s">
        <v>20</v>
      </c>
      <c r="D163" s="0" t="str">
        <f aca="false">A163&amp;C163&amp;B163</f>
        <v>140PE100SDR21</v>
      </c>
      <c r="E163" s="0" t="n">
        <f aca="false">(A163-(2*(A163/(RIGHT(B163,LEN(B163)-3)))))/1000</f>
        <v>0.126666666666667</v>
      </c>
      <c r="F163" s="0" t="n">
        <v>8</v>
      </c>
    </row>
    <row r="164" customFormat="false" ht="12.8" hidden="false" customHeight="false" outlineLevel="0" collapsed="false">
      <c r="A164" s="0" t="n">
        <v>160</v>
      </c>
      <c r="B164" s="0" t="s">
        <v>103</v>
      </c>
      <c r="C164" s="0" t="s">
        <v>20</v>
      </c>
      <c r="D164" s="0" t="str">
        <f aca="false">A164&amp;C164&amp;B164</f>
        <v>160PE100SDR21</v>
      </c>
      <c r="E164" s="0" t="n">
        <f aca="false">(A164-(2*(A164/(RIGHT(B164,LEN(B164)-3)))))/1000</f>
        <v>0.144761904761905</v>
      </c>
      <c r="F164" s="0" t="n">
        <v>8</v>
      </c>
    </row>
    <row r="165" customFormat="false" ht="12.8" hidden="false" customHeight="false" outlineLevel="0" collapsed="false">
      <c r="A165" s="0" t="n">
        <v>180</v>
      </c>
      <c r="B165" s="0" t="s">
        <v>103</v>
      </c>
      <c r="C165" s="0" t="s">
        <v>20</v>
      </c>
      <c r="D165" s="0" t="str">
        <f aca="false">A165&amp;C165&amp;B165</f>
        <v>180PE100SDR21</v>
      </c>
      <c r="E165" s="0" t="n">
        <f aca="false">(A165-(2*(A165/(RIGHT(B165,LEN(B165)-3)))))/1000</f>
        <v>0.162857142857143</v>
      </c>
      <c r="F165" s="0" t="n">
        <v>8</v>
      </c>
    </row>
    <row r="166" customFormat="false" ht="12.8" hidden="false" customHeight="false" outlineLevel="0" collapsed="false">
      <c r="A166" s="0" t="n">
        <v>200</v>
      </c>
      <c r="B166" s="0" t="s">
        <v>103</v>
      </c>
      <c r="C166" s="0" t="s">
        <v>20</v>
      </c>
      <c r="D166" s="0" t="str">
        <f aca="false">A166&amp;C166&amp;B166</f>
        <v>200PE100SDR21</v>
      </c>
      <c r="E166" s="0" t="n">
        <f aca="false">(A166-(2*(A166/(RIGHT(B166,LEN(B166)-3)))))/1000</f>
        <v>0.180952380952381</v>
      </c>
      <c r="F166" s="0" t="n">
        <v>8</v>
      </c>
    </row>
    <row r="167" customFormat="false" ht="12.8" hidden="false" customHeight="false" outlineLevel="0" collapsed="false">
      <c r="A167" s="0" t="n">
        <v>225</v>
      </c>
      <c r="B167" s="0" t="s">
        <v>103</v>
      </c>
      <c r="C167" s="0" t="s">
        <v>20</v>
      </c>
      <c r="D167" s="0" t="str">
        <f aca="false">A167&amp;C167&amp;B167</f>
        <v>225PE100SDR21</v>
      </c>
      <c r="E167" s="0" t="n">
        <f aca="false">(A167-(2*(A167/(RIGHT(B167,LEN(B167)-3)))))/1000</f>
        <v>0.203571428571429</v>
      </c>
      <c r="F167" s="0" t="n">
        <v>8</v>
      </c>
    </row>
    <row r="168" customFormat="false" ht="12.8" hidden="false" customHeight="false" outlineLevel="0" collapsed="false">
      <c r="A168" s="0" t="n">
        <v>250</v>
      </c>
      <c r="B168" s="0" t="s">
        <v>103</v>
      </c>
      <c r="C168" s="0" t="s">
        <v>20</v>
      </c>
      <c r="D168" s="0" t="str">
        <f aca="false">A168&amp;C168&amp;B168</f>
        <v>250PE100SDR21</v>
      </c>
      <c r="E168" s="0" t="n">
        <f aca="false">(A168-(2*(A168/(RIGHT(B168,LEN(B168)-3)))))/1000</f>
        <v>0.226190476190476</v>
      </c>
      <c r="F168" s="0" t="n">
        <v>8</v>
      </c>
    </row>
    <row r="169" customFormat="false" ht="12.8" hidden="false" customHeight="false" outlineLevel="0" collapsed="false">
      <c r="A169" s="0" t="n">
        <v>280</v>
      </c>
      <c r="B169" s="0" t="s">
        <v>103</v>
      </c>
      <c r="C169" s="0" t="s">
        <v>20</v>
      </c>
      <c r="D169" s="0" t="str">
        <f aca="false">A169&amp;C169&amp;B169</f>
        <v>280PE100SDR21</v>
      </c>
      <c r="E169" s="0" t="n">
        <f aca="false">(A169-(2*(A169/(RIGHT(B169,LEN(B169)-3)))))/1000</f>
        <v>0.253333333333333</v>
      </c>
      <c r="F169" s="0" t="n">
        <v>8</v>
      </c>
    </row>
    <row r="170" customFormat="false" ht="12.8" hidden="false" customHeight="false" outlineLevel="0" collapsed="false">
      <c r="A170" s="0" t="n">
        <v>315</v>
      </c>
      <c r="B170" s="0" t="s">
        <v>103</v>
      </c>
      <c r="C170" s="0" t="s">
        <v>20</v>
      </c>
      <c r="D170" s="0" t="str">
        <f aca="false">A170&amp;C170&amp;B170</f>
        <v>315PE100SDR21</v>
      </c>
      <c r="E170" s="0" t="n">
        <f aca="false">(A170-(2*(A170/(RIGHT(B170,LEN(B170)-3)))))/1000</f>
        <v>0.285</v>
      </c>
      <c r="F170" s="0" t="n">
        <v>8</v>
      </c>
    </row>
    <row r="171" customFormat="false" ht="12.8" hidden="false" customHeight="false" outlineLevel="0" collapsed="false">
      <c r="A171" s="0" t="n">
        <v>355</v>
      </c>
      <c r="B171" s="0" t="s">
        <v>103</v>
      </c>
      <c r="C171" s="0" t="s">
        <v>20</v>
      </c>
      <c r="D171" s="0" t="str">
        <f aca="false">A171&amp;C171&amp;B171</f>
        <v>355PE100SDR21</v>
      </c>
      <c r="E171" s="0" t="n">
        <f aca="false">(A171-(2*(A171/(RIGHT(B171,LEN(B171)-3)))))/1000</f>
        <v>0.321190476190476</v>
      </c>
      <c r="F171" s="0" t="n">
        <v>8</v>
      </c>
    </row>
    <row r="172" customFormat="false" ht="12.8" hidden="false" customHeight="false" outlineLevel="0" collapsed="false">
      <c r="A172" s="0" t="n">
        <v>400</v>
      </c>
      <c r="B172" s="0" t="s">
        <v>103</v>
      </c>
      <c r="C172" s="0" t="s">
        <v>20</v>
      </c>
      <c r="D172" s="0" t="str">
        <f aca="false">A172&amp;C172&amp;B172</f>
        <v>400PE100SDR21</v>
      </c>
      <c r="E172" s="0" t="n">
        <f aca="false">(A172-(2*(A172/(RIGHT(B172,LEN(B172)-3)))))/1000</f>
        <v>0.361904761904762</v>
      </c>
      <c r="F172" s="0" t="n">
        <v>8</v>
      </c>
    </row>
    <row r="173" customFormat="false" ht="12.8" hidden="false" customHeight="false" outlineLevel="0" collapsed="false">
      <c r="A173" s="0" t="n">
        <v>450</v>
      </c>
      <c r="B173" s="0" t="s">
        <v>103</v>
      </c>
      <c r="C173" s="0" t="s">
        <v>20</v>
      </c>
      <c r="D173" s="0" t="str">
        <f aca="false">A173&amp;C173&amp;B173</f>
        <v>450PE100SDR21</v>
      </c>
      <c r="E173" s="0" t="n">
        <f aca="false">(A173-(2*(A173/(RIGHT(B173,LEN(B173)-3)))))/1000</f>
        <v>0.407142857142857</v>
      </c>
      <c r="F173" s="0" t="n">
        <v>8</v>
      </c>
    </row>
    <row r="174" customFormat="false" ht="12.8" hidden="false" customHeight="false" outlineLevel="0" collapsed="false">
      <c r="A174" s="0" t="n">
        <v>500</v>
      </c>
      <c r="B174" s="0" t="s">
        <v>103</v>
      </c>
      <c r="C174" s="0" t="s">
        <v>20</v>
      </c>
      <c r="D174" s="0" t="str">
        <f aca="false">A174&amp;C174&amp;B174</f>
        <v>500PE100SDR21</v>
      </c>
      <c r="E174" s="0" t="n">
        <f aca="false">(A174-(2*(A174/(RIGHT(B174,LEN(B174)-3)))))/1000</f>
        <v>0.452380952380952</v>
      </c>
      <c r="F174" s="0" t="n">
        <v>8</v>
      </c>
    </row>
    <row r="175" customFormat="false" ht="12.8" hidden="false" customHeight="false" outlineLevel="0" collapsed="false">
      <c r="A175" s="0" t="n">
        <v>560</v>
      </c>
      <c r="B175" s="0" t="s">
        <v>103</v>
      </c>
      <c r="C175" s="0" t="s">
        <v>20</v>
      </c>
      <c r="D175" s="0" t="str">
        <f aca="false">A175&amp;C175&amp;B175</f>
        <v>560PE100SDR21</v>
      </c>
      <c r="E175" s="0" t="n">
        <f aca="false">(A175-(2*(A175/(RIGHT(B175,LEN(B175)-3)))))/1000</f>
        <v>0.506666666666667</v>
      </c>
      <c r="F175" s="0" t="n">
        <v>8</v>
      </c>
    </row>
    <row r="176" customFormat="false" ht="12.8" hidden="false" customHeight="false" outlineLevel="0" collapsed="false">
      <c r="A176" s="0" t="n">
        <v>630</v>
      </c>
      <c r="B176" s="0" t="s">
        <v>103</v>
      </c>
      <c r="C176" s="0" t="s">
        <v>20</v>
      </c>
      <c r="D176" s="0" t="str">
        <f aca="false">A176&amp;C176&amp;B176</f>
        <v>630PE100SDR21</v>
      </c>
      <c r="E176" s="0" t="n">
        <f aca="false">(A176-(2*(A176/(RIGHT(B176,LEN(B176)-3)))))/1000</f>
        <v>0.57</v>
      </c>
      <c r="F176" s="0" t="n">
        <v>8</v>
      </c>
    </row>
    <row r="177" customFormat="false" ht="12.8" hidden="false" customHeight="false" outlineLevel="0" collapsed="false">
      <c r="A177" s="0" t="n">
        <v>710</v>
      </c>
      <c r="B177" s="0" t="s">
        <v>103</v>
      </c>
      <c r="C177" s="0" t="s">
        <v>20</v>
      </c>
      <c r="D177" s="0" t="str">
        <f aca="false">A177&amp;C177&amp;B177</f>
        <v>710PE100SDR21</v>
      </c>
      <c r="E177" s="0" t="n">
        <f aca="false">(A177-(2*(A177/(RIGHT(B177,LEN(B177)-3)))))/1000</f>
        <v>0.642380952380952</v>
      </c>
      <c r="F177" s="0" t="n">
        <v>8</v>
      </c>
    </row>
    <row r="178" customFormat="false" ht="12.8" hidden="false" customHeight="false" outlineLevel="0" collapsed="false">
      <c r="A178" s="0" t="n">
        <v>800</v>
      </c>
      <c r="B178" s="0" t="s">
        <v>103</v>
      </c>
      <c r="C178" s="0" t="s">
        <v>20</v>
      </c>
      <c r="D178" s="0" t="str">
        <f aca="false">A178&amp;C178&amp;B178</f>
        <v>800PE100SDR21</v>
      </c>
      <c r="E178" s="0" t="n">
        <f aca="false">(A178-(2*(A178/(RIGHT(B178,LEN(B178)-3)))))/1000</f>
        <v>0.723809523809524</v>
      </c>
      <c r="F178" s="0" t="n">
        <v>8</v>
      </c>
    </row>
    <row r="179" customFormat="false" ht="12.8" hidden="false" customHeight="false" outlineLevel="0" collapsed="false">
      <c r="A179" s="0" t="n">
        <v>900</v>
      </c>
      <c r="B179" s="0" t="s">
        <v>103</v>
      </c>
      <c r="C179" s="0" t="s">
        <v>20</v>
      </c>
      <c r="D179" s="0" t="str">
        <f aca="false">A179&amp;C179&amp;B179</f>
        <v>900PE100SDR21</v>
      </c>
      <c r="E179" s="0" t="n">
        <f aca="false">(A179-(2*(A179/(RIGHT(B179,LEN(B179)-3)))))/1000</f>
        <v>0.814285714285714</v>
      </c>
      <c r="F179" s="0" t="n">
        <v>8</v>
      </c>
    </row>
    <row r="180" customFormat="false" ht="12.8" hidden="false" customHeight="false" outlineLevel="0" collapsed="false">
      <c r="A180" s="0" t="n">
        <v>1000</v>
      </c>
      <c r="B180" s="0" t="s">
        <v>103</v>
      </c>
      <c r="C180" s="0" t="s">
        <v>20</v>
      </c>
      <c r="D180" s="0" t="str">
        <f aca="false">A180&amp;C180&amp;B180</f>
        <v>1000PE100SDR21</v>
      </c>
      <c r="E180" s="0" t="n">
        <f aca="false">(A180-(2*(A180/(RIGHT(B180,LEN(B180)-3)))))/1000</f>
        <v>0.904761904761905</v>
      </c>
      <c r="F180" s="0" t="n">
        <v>8</v>
      </c>
    </row>
    <row r="181" customFormat="false" ht="12.8" hidden="false" customHeight="false" outlineLevel="0" collapsed="false">
      <c r="A181" s="0" t="n">
        <v>1200</v>
      </c>
      <c r="B181" s="0" t="s">
        <v>103</v>
      </c>
      <c r="C181" s="0" t="s">
        <v>20</v>
      </c>
      <c r="D181" s="0" t="str">
        <f aca="false">A181&amp;C181&amp;B181</f>
        <v>1200PE100SDR21</v>
      </c>
      <c r="E181" s="0" t="n">
        <f aca="false">(A181-(2*(A181/(RIGHT(B181,LEN(B181)-3)))))/1000</f>
        <v>1.08571428571429</v>
      </c>
      <c r="F181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104</v>
      </c>
      <c r="B1" s="0" t="s">
        <v>105</v>
      </c>
      <c r="C1" s="0" t="s">
        <v>106</v>
      </c>
    </row>
    <row r="2" customFormat="false" ht="12.8" hidden="false" customHeight="false" outlineLevel="0" collapsed="false">
      <c r="A2" s="3" t="n">
        <f aca="false">RANDBETWEEN(1,6)/10</f>
        <v>0.6</v>
      </c>
      <c r="B2" s="0" t="n">
        <f aca="false">RANDBETWEEN(50,500)</f>
        <v>239</v>
      </c>
      <c r="C2" s="0" t="n">
        <v>0.007</v>
      </c>
    </row>
    <row r="3" customFormat="false" ht="12.8" hidden="false" customHeight="false" outlineLevel="0" collapsed="false">
      <c r="A3" s="3" t="n">
        <f aca="false">RANDBETWEEN(1,6)/10</f>
        <v>0.1</v>
      </c>
      <c r="B3" s="0" t="n">
        <f aca="false">RANDBETWEEN(50,500)</f>
        <v>163</v>
      </c>
      <c r="C3" s="0" t="n">
        <v>0.007</v>
      </c>
    </row>
    <row r="4" customFormat="false" ht="12.8" hidden="false" customHeight="false" outlineLevel="0" collapsed="false">
      <c r="A4" s="3" t="n">
        <f aca="false">RANDBETWEEN(1,6)/10</f>
        <v>0.6</v>
      </c>
      <c r="B4" s="0" t="n">
        <f aca="false">RANDBETWEEN(50,500)</f>
        <v>161</v>
      </c>
      <c r="C4" s="0" t="n">
        <v>0.007</v>
      </c>
    </row>
    <row r="5" customFormat="false" ht="12.8" hidden="false" customHeight="false" outlineLevel="0" collapsed="false">
      <c r="A5" s="3" t="n">
        <f aca="false">RANDBETWEEN(1,6)/10</f>
        <v>0.3</v>
      </c>
      <c r="B5" s="0" t="n">
        <f aca="false">RANDBETWEEN(50,500)</f>
        <v>491</v>
      </c>
      <c r="C5" s="0" t="n">
        <v>0.007</v>
      </c>
    </row>
    <row r="6" customFormat="false" ht="12.8" hidden="false" customHeight="false" outlineLevel="0" collapsed="false">
      <c r="A6" s="3" t="n">
        <f aca="false">RANDBETWEEN(1,6)/10</f>
        <v>0.6</v>
      </c>
      <c r="B6" s="0" t="n">
        <f aca="false">RANDBETWEEN(50,500)</f>
        <v>438</v>
      </c>
      <c r="C6" s="0" t="n">
        <v>0.007</v>
      </c>
    </row>
    <row r="7" customFormat="false" ht="12.8" hidden="false" customHeight="false" outlineLevel="0" collapsed="false">
      <c r="A7" s="3" t="n">
        <f aca="false">RANDBETWEEN(1,6)/10</f>
        <v>0.4</v>
      </c>
      <c r="B7" s="0" t="n">
        <f aca="false">RANDBETWEEN(50,500)</f>
        <v>181</v>
      </c>
      <c r="C7" s="0" t="n">
        <v>0.007</v>
      </c>
    </row>
    <row r="8" customFormat="false" ht="12.8" hidden="false" customHeight="false" outlineLevel="0" collapsed="false">
      <c r="A8" s="3" t="n">
        <f aca="false">RANDBETWEEN(1,6)/10</f>
        <v>0.4</v>
      </c>
      <c r="B8" s="0" t="n">
        <f aca="false">RANDBETWEEN(50,500)</f>
        <v>262</v>
      </c>
      <c r="C8" s="0" t="n">
        <v>0.007</v>
      </c>
    </row>
    <row r="9" customFormat="false" ht="12.8" hidden="false" customHeight="false" outlineLevel="0" collapsed="false">
      <c r="A9" s="3" t="n">
        <f aca="false">RANDBETWEEN(1,6)/10</f>
        <v>0.5</v>
      </c>
      <c r="B9" s="0" t="n">
        <f aca="false">RANDBETWEEN(50,500)</f>
        <v>401</v>
      </c>
      <c r="C9" s="0" t="n">
        <v>0.007</v>
      </c>
    </row>
    <row r="10" customFormat="false" ht="12.8" hidden="false" customHeight="false" outlineLevel="0" collapsed="false">
      <c r="A10" s="3" t="n">
        <f aca="false">RANDBETWEEN(1,6)/10</f>
        <v>0.2</v>
      </c>
      <c r="B10" s="0" t="n">
        <f aca="false">RANDBETWEEN(50,500)</f>
        <v>166</v>
      </c>
      <c r="C10" s="0" t="n">
        <v>0.007</v>
      </c>
    </row>
    <row r="11" customFormat="false" ht="12.8" hidden="false" customHeight="false" outlineLevel="0" collapsed="false">
      <c r="A11" s="3" t="n">
        <f aca="false">RANDBETWEEN(1,6)/10</f>
        <v>0.5</v>
      </c>
      <c r="B11" s="0" t="n">
        <f aca="false">RANDBETWEEN(50,500)</f>
        <v>434</v>
      </c>
      <c r="C11" s="0" t="n">
        <v>0.007</v>
      </c>
    </row>
    <row r="12" customFormat="false" ht="12.8" hidden="false" customHeight="false" outlineLevel="0" collapsed="false">
      <c r="A12" s="3" t="n">
        <f aca="false">RANDBETWEEN(1,6)/10</f>
        <v>0.4</v>
      </c>
      <c r="B12" s="0" t="n">
        <f aca="false">RANDBETWEEN(50,500)</f>
        <v>335</v>
      </c>
      <c r="C12" s="0" t="n">
        <v>0.007</v>
      </c>
    </row>
    <row r="13" customFormat="false" ht="12.8" hidden="false" customHeight="false" outlineLevel="0" collapsed="false">
      <c r="A13" s="3" t="n">
        <f aca="false">RANDBETWEEN(1,6)/10</f>
        <v>0.3</v>
      </c>
      <c r="B13" s="0" t="n">
        <f aca="false">RANDBETWEEN(50,500)</f>
        <v>421</v>
      </c>
      <c r="C13" s="0" t="n">
        <v>0.007</v>
      </c>
    </row>
    <row r="14" customFormat="false" ht="12.8" hidden="false" customHeight="false" outlineLevel="0" collapsed="false">
      <c r="A14" s="3" t="n">
        <f aca="false">RANDBETWEEN(1,6)/10</f>
        <v>0.4</v>
      </c>
      <c r="B14" s="0" t="n">
        <f aca="false">RANDBETWEEN(50,500)</f>
        <v>348</v>
      </c>
      <c r="C14" s="0" t="n">
        <v>0.007</v>
      </c>
    </row>
    <row r="15" customFormat="false" ht="12.8" hidden="false" customHeight="false" outlineLevel="0" collapsed="false">
      <c r="A15" s="3" t="n">
        <f aca="false">RANDBETWEEN(1,6)/10</f>
        <v>0.2</v>
      </c>
      <c r="B15" s="0" t="n">
        <f aca="false">RANDBETWEEN(50,500)</f>
        <v>378</v>
      </c>
      <c r="C15" s="0" t="n">
        <v>0.007</v>
      </c>
    </row>
    <row r="16" customFormat="false" ht="12.8" hidden="false" customHeight="false" outlineLevel="0" collapsed="false">
      <c r="A16" s="3" t="n">
        <f aca="false">RANDBETWEEN(1,6)/10</f>
        <v>0.3</v>
      </c>
      <c r="B16" s="0" t="n">
        <f aca="false">RANDBETWEEN(50,500)</f>
        <v>459</v>
      </c>
      <c r="C16" s="0" t="n">
        <v>0.007</v>
      </c>
    </row>
    <row r="17" customFormat="false" ht="12.8" hidden="false" customHeight="false" outlineLevel="0" collapsed="false">
      <c r="A17" s="3" t="n">
        <f aca="false">RANDBETWEEN(1,6)/10</f>
        <v>0.5</v>
      </c>
      <c r="B17" s="0" t="n">
        <f aca="false">RANDBETWEEN(50,500)</f>
        <v>104</v>
      </c>
      <c r="C17" s="0" t="n">
        <v>0.007</v>
      </c>
    </row>
    <row r="18" customFormat="false" ht="12.8" hidden="false" customHeight="false" outlineLevel="0" collapsed="false">
      <c r="A18" s="3" t="n">
        <f aca="false">RANDBETWEEN(1,6)/10</f>
        <v>0.1</v>
      </c>
      <c r="B18" s="0" t="n">
        <f aca="false">RANDBETWEEN(50,500)</f>
        <v>359</v>
      </c>
      <c r="C18" s="0" t="n">
        <v>0.007</v>
      </c>
    </row>
    <row r="19" customFormat="false" ht="12.8" hidden="false" customHeight="false" outlineLevel="0" collapsed="false">
      <c r="A19" s="3" t="n">
        <f aca="false">RANDBETWEEN(1,6)/10</f>
        <v>0.2</v>
      </c>
      <c r="B19" s="0" t="n">
        <f aca="false">RANDBETWEEN(50,500)</f>
        <v>333</v>
      </c>
      <c r="C19" s="0" t="n">
        <v>0.007</v>
      </c>
    </row>
    <row r="20" customFormat="false" ht="12.8" hidden="false" customHeight="false" outlineLevel="0" collapsed="false">
      <c r="A20" s="3" t="n">
        <f aca="false">RANDBETWEEN(1,6)/10</f>
        <v>0.3</v>
      </c>
      <c r="B20" s="0" t="n">
        <f aca="false">RANDBETWEEN(50,500)</f>
        <v>252</v>
      </c>
      <c r="C20" s="0" t="n">
        <v>0.007</v>
      </c>
    </row>
    <row r="21" customFormat="false" ht="12.8" hidden="false" customHeight="false" outlineLevel="0" collapsed="false">
      <c r="A21" s="3" t="n">
        <f aca="false">RANDBETWEEN(1,6)/10</f>
        <v>0.4</v>
      </c>
      <c r="B21" s="0" t="n">
        <f aca="false">RANDBETWEEN(50,500)</f>
        <v>234</v>
      </c>
      <c r="C21" s="0" t="n">
        <v>0.007</v>
      </c>
    </row>
    <row r="22" customFormat="false" ht="12.8" hidden="false" customHeight="false" outlineLevel="0" collapsed="false">
      <c r="A22" s="3" t="n">
        <f aca="false">RANDBETWEEN(1,6)/10</f>
        <v>0.6</v>
      </c>
      <c r="B22" s="0" t="n">
        <f aca="false">RANDBETWEEN(50,500)</f>
        <v>402</v>
      </c>
      <c r="C22" s="0" t="n">
        <v>0.007</v>
      </c>
    </row>
    <row r="23" customFormat="false" ht="12.8" hidden="false" customHeight="false" outlineLevel="0" collapsed="false">
      <c r="A23" s="3" t="n">
        <f aca="false">RANDBETWEEN(1,6)/10</f>
        <v>0.4</v>
      </c>
      <c r="B23" s="0" t="n">
        <f aca="false">RANDBETWEEN(50,500)</f>
        <v>424</v>
      </c>
      <c r="C23" s="0" t="n">
        <v>0.007</v>
      </c>
    </row>
    <row r="24" customFormat="false" ht="12.8" hidden="false" customHeight="false" outlineLevel="0" collapsed="false">
      <c r="A24" s="3" t="n">
        <f aca="false">RANDBETWEEN(1,6)/10</f>
        <v>0.3</v>
      </c>
      <c r="B24" s="0" t="n">
        <f aca="false">RANDBETWEEN(50,500)</f>
        <v>232</v>
      </c>
      <c r="C24" s="0" t="n">
        <v>0.007</v>
      </c>
    </row>
    <row r="25" customFormat="false" ht="12.8" hidden="false" customHeight="false" outlineLevel="0" collapsed="false">
      <c r="A25" s="3" t="n">
        <f aca="false">RANDBETWEEN(1,6)/10</f>
        <v>0.5</v>
      </c>
      <c r="B25" s="0" t="n">
        <f aca="false">RANDBETWEEN(50,500)</f>
        <v>337</v>
      </c>
      <c r="C25" s="0" t="n">
        <v>0.007</v>
      </c>
    </row>
    <row r="26" customFormat="false" ht="12.8" hidden="false" customHeight="false" outlineLevel="0" collapsed="false">
      <c r="A26" s="3" t="n">
        <f aca="false">RANDBETWEEN(1,6)/10</f>
        <v>0.1</v>
      </c>
      <c r="B26" s="0" t="n">
        <f aca="false">RANDBETWEEN(50,500)</f>
        <v>82</v>
      </c>
      <c r="C26" s="0" t="n">
        <v>0.007</v>
      </c>
    </row>
    <row r="27" customFormat="false" ht="12.8" hidden="false" customHeight="false" outlineLevel="0" collapsed="false">
      <c r="A27" s="3" t="n">
        <f aca="false">RANDBETWEEN(1,6)/10</f>
        <v>0.3</v>
      </c>
      <c r="B27" s="0" t="n">
        <f aca="false">RANDBETWEEN(50,500)</f>
        <v>471</v>
      </c>
      <c r="C27" s="0" t="n">
        <v>0.007</v>
      </c>
    </row>
    <row r="28" customFormat="false" ht="12.8" hidden="false" customHeight="false" outlineLevel="0" collapsed="false">
      <c r="A28" s="3" t="n">
        <f aca="false">RANDBETWEEN(1,6)/10</f>
        <v>0.3</v>
      </c>
      <c r="B28" s="0" t="n">
        <f aca="false">RANDBETWEEN(50,500)</f>
        <v>483</v>
      </c>
      <c r="C28" s="0" t="n">
        <v>0.007</v>
      </c>
    </row>
    <row r="29" customFormat="false" ht="12.8" hidden="false" customHeight="false" outlineLevel="0" collapsed="false">
      <c r="A29" s="3" t="n">
        <f aca="false">RANDBETWEEN(1,6)/10</f>
        <v>0.2</v>
      </c>
      <c r="B29" s="0" t="n">
        <f aca="false">RANDBETWEEN(50,500)</f>
        <v>474</v>
      </c>
      <c r="C29" s="0" t="n">
        <v>0.007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2026-01-25T08:02:36Z</dcterms:created>
  <dc:creator/>
  <dc:description/>
  <dc:language>en-GB</dc:language>
  <cp:lastModifiedBy/>
  <dcterms:modified xsi:type="dcterms:W3CDTF">2026-02-15T18:11:57Z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